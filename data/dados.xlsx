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9dc6a78d929226/Área de Trabalho/Estudos/bohn/"/>
    </mc:Choice>
  </mc:AlternateContent>
  <xr:revisionPtr revIDLastSave="15" documentId="8_{DCB6D993-283D-4E53-9C84-5D2C1C418866}" xr6:coauthVersionLast="47" xr6:coauthVersionMax="47" xr10:uidLastSave="{431BF571-465C-42F1-88E0-9E269164AD43}"/>
  <bookViews>
    <workbookView xWindow="-108" yWindow="-108" windowWidth="23256" windowHeight="12456" xr2:uid="{4C1B63D0-52FA-4E7C-9336-9BC22708E7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2" i="1"/>
</calcChain>
</file>

<file path=xl/sharedStrings.xml><?xml version="1.0" encoding="utf-8"?>
<sst xmlns="http://schemas.openxmlformats.org/spreadsheetml/2006/main" count="12" uniqueCount="12">
  <si>
    <t>PERÍODO</t>
  </si>
  <si>
    <t>IPCA (%)</t>
  </si>
  <si>
    <t>13762 - Dívida bruta do governo geral (% PIB) - Metodologia utilizada a partir de 2008 - %</t>
  </si>
  <si>
    <t>5355 - NFSP sem desvalorização cambial (% PIB) - Fluxo mensal corrente - Resultado primário - Total - Governo Federal - %</t>
  </si>
  <si>
    <t>5364 - NFSP sem desvalorização cambial (% PIB) - Fluxo mensal corrente - Resultado primário - Total - Setor público consolidado - %</t>
  </si>
  <si>
    <t>4380 - PIB mensal - Valores correntes (R$ milhões)</t>
  </si>
  <si>
    <t>Crescimento real do PIB (%)</t>
  </si>
  <si>
    <t>Hiato do Produto</t>
  </si>
  <si>
    <t>4189 - Taxa de juros - Selic acumulada no mês anualizada base 252 - % a,a,</t>
  </si>
  <si>
    <t>Taxa de Juros Real (% a,a) - formula</t>
  </si>
  <si>
    <t>Taxa de Juros Real (% a,a)</t>
  </si>
  <si>
    <t>saldo primário do setor público consolidado (aBRPSPSAA)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</si>
</sst>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7" fontId="0" fillId="0" borderId="0" xfId="0" applyNumberFormat="1"/>
    <xf numFmtId="4" fontId="0" fillId="0" borderId="0" xfId="0" applyNumberFormat="1"/>
    <xf numFmtId="4" fontId="3" fillId="0" borderId="1" xfId="1" applyNumberFormat="1" applyFont="1" applyBorder="1" applyAlignment="1">
      <alignment horizontal="right"/>
    </xf>
    <xf numFmtId="4" fontId="3" fillId="0" borderId="0" xfId="1" applyNumberFormat="1" applyFont="1" applyAlignment="1">
      <alignment horizontal="right"/>
    </xf>
    <xf numFmtId="4" fontId="3" fillId="0" borderId="2" xfId="1" applyNumberFormat="1" applyFont="1" applyBorder="1" applyAlignment="1">
      <alignment horizontal="right"/>
    </xf>
    <xf numFmtId="2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4" fontId="3" fillId="0" borderId="3" xfId="1" applyNumberFormat="1" applyFont="1" applyBorder="1" applyAlignment="1">
      <alignment horizontal="right"/>
    </xf>
    <xf numFmtId="4" fontId="3" fillId="0" borderId="4" xfId="1" applyNumberFormat="1" applyFont="1" applyBorder="1" applyAlignment="1">
      <alignment horizontal="right"/>
    </xf>
    <xf numFmtId="4" fontId="3" fillId="0" borderId="5" xfId="1" applyNumberFormat="1" applyFont="1" applyBorder="1" applyAlignment="1">
      <alignment horizontal="right"/>
    </xf>
    <xf numFmtId="2" fontId="3" fillId="0" borderId="4" xfId="1" applyNumberFormat="1" applyFont="1" applyBorder="1" applyAlignment="1">
      <alignment horizontal="right"/>
    </xf>
    <xf numFmtId="0" fontId="1" fillId="0" borderId="0" xfId="0" applyFont="1"/>
    <xf numFmtId="164" fontId="4" fillId="0" borderId="0" xfId="0" applyNumberFormat="1" applyFont="1"/>
    <xf numFmtId="164" fontId="5" fillId="0" borderId="0" xfId="0" applyNumberFormat="1" applyFont="1"/>
    <xf numFmtId="3" fontId="0" fillId="0" borderId="0" xfId="0" applyNumberFormat="1"/>
  </cellXfs>
  <cellStyles count="2">
    <cellStyle name="Normal" xfId="0" builtinId="0"/>
    <cellStyle name="Normal_ipca_201707SerieHist" xfId="1" xr:uid="{40B2701F-DD49-4A49-8C89-547F23AAC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F518-14A8-4B59-B9C0-42AC4DF3DD13}">
  <dimension ref="A1:L38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8.5546875" bestFit="1" customWidth="1"/>
    <col min="2" max="2" width="71.44140625" bestFit="1" customWidth="1"/>
    <col min="3" max="3" width="71.44140625" customWidth="1"/>
    <col min="4" max="4" width="100.21875" bestFit="1" customWidth="1"/>
    <col min="5" max="5" width="107.77734375" bestFit="1" customWidth="1"/>
    <col min="6" max="6" width="61.5546875" bestFit="1" customWidth="1"/>
    <col min="7" max="7" width="8.109375" bestFit="1" customWidth="1"/>
    <col min="8" max="8" width="29.33203125" bestFit="1" customWidth="1"/>
    <col min="9" max="9" width="21.6640625" bestFit="1" customWidth="1"/>
    <col min="10" max="10" width="43.77734375" bestFit="1" customWidth="1"/>
    <col min="11" max="11" width="23.44140625" bestFit="1" customWidth="1"/>
    <col min="12" max="12" width="14.44140625" bestFit="1" customWidth="1"/>
  </cols>
  <sheetData>
    <row r="1" spans="1:12" x14ac:dyDescent="0.3">
      <c r="A1" t="s">
        <v>0</v>
      </c>
      <c r="B1" t="s">
        <v>2</v>
      </c>
      <c r="C1" t="s">
        <v>11</v>
      </c>
      <c r="D1" t="s">
        <v>3</v>
      </c>
      <c r="E1" t="s">
        <v>4</v>
      </c>
      <c r="F1" t="s">
        <v>8</v>
      </c>
      <c r="G1" t="s">
        <v>1</v>
      </c>
      <c r="H1" t="s">
        <v>9</v>
      </c>
      <c r="I1" t="s">
        <v>10</v>
      </c>
      <c r="J1" s="14" t="s">
        <v>5</v>
      </c>
      <c r="K1" t="s">
        <v>6</v>
      </c>
      <c r="L1" t="s">
        <v>7</v>
      </c>
    </row>
    <row r="2" spans="1:12" x14ac:dyDescent="0.3">
      <c r="A2" s="1">
        <v>34335</v>
      </c>
      <c r="D2" s="2">
        <v>0</v>
      </c>
      <c r="E2" s="2">
        <v>0</v>
      </c>
      <c r="F2" s="2">
        <v>7065.02</v>
      </c>
      <c r="G2" s="3">
        <v>2693.84</v>
      </c>
      <c r="H2">
        <f>((1+F2/100)/(1+G2/100)-1)*100</f>
        <v>156.45777854136242</v>
      </c>
      <c r="I2">
        <v>156.45777854136242</v>
      </c>
      <c r="J2" s="13">
        <v>4562.8</v>
      </c>
      <c r="L2">
        <v>-17.755931786554413</v>
      </c>
    </row>
    <row r="3" spans="1:12" x14ac:dyDescent="0.3">
      <c r="A3" s="1">
        <v>34366</v>
      </c>
      <c r="D3" s="2">
        <v>0</v>
      </c>
      <c r="E3" s="2">
        <v>0</v>
      </c>
      <c r="F3" s="2">
        <v>13442.03</v>
      </c>
      <c r="G3" s="3">
        <v>3035.71</v>
      </c>
      <c r="H3">
        <f t="shared" ref="H3:H66" si="0">((1+F3/100)/(1+G3/100)-1)*100</f>
        <v>331.86487270825432</v>
      </c>
      <c r="I3">
        <v>331.86487270825432</v>
      </c>
      <c r="J3" s="13">
        <v>5793</v>
      </c>
      <c r="K3">
        <v>-9.9707644441027199</v>
      </c>
      <c r="L3">
        <v>-27.590184599864486</v>
      </c>
    </row>
    <row r="4" spans="1:12" x14ac:dyDescent="0.3">
      <c r="A4" s="1">
        <v>34394</v>
      </c>
      <c r="D4" s="2">
        <v>0</v>
      </c>
      <c r="E4" s="2">
        <v>0</v>
      </c>
      <c r="F4" s="2">
        <v>7784.35</v>
      </c>
      <c r="G4" s="3">
        <v>3417.39</v>
      </c>
      <c r="H4">
        <f t="shared" si="0"/>
        <v>124.15342057605217</v>
      </c>
      <c r="I4">
        <v>124.15342057605217</v>
      </c>
      <c r="J4" s="13">
        <v>8520.4</v>
      </c>
      <c r="K4">
        <v>2.9884976062843904</v>
      </c>
      <c r="L4">
        <v>-28.154360061618334</v>
      </c>
    </row>
    <row r="5" spans="1:12" x14ac:dyDescent="0.3">
      <c r="A5" s="1">
        <v>34425</v>
      </c>
      <c r="D5" s="2">
        <v>0</v>
      </c>
      <c r="E5" s="2">
        <v>0</v>
      </c>
      <c r="F5" s="2">
        <v>15710.86</v>
      </c>
      <c r="G5" s="3">
        <v>3828.49</v>
      </c>
      <c r="H5">
        <f t="shared" si="0"/>
        <v>302.46659658036543</v>
      </c>
      <c r="I5">
        <v>302.46659658036543</v>
      </c>
      <c r="J5" s="13">
        <v>12828.8</v>
      </c>
      <c r="K5">
        <v>5.3788562561059905</v>
      </c>
      <c r="L5">
        <v>-27.977504485765479</v>
      </c>
    </row>
    <row r="6" spans="1:12" x14ac:dyDescent="0.3">
      <c r="A6" s="1">
        <v>34455</v>
      </c>
      <c r="D6" s="2">
        <v>0</v>
      </c>
      <c r="E6" s="2">
        <v>0</v>
      </c>
      <c r="F6" s="2">
        <v>8784.0300000000007</v>
      </c>
      <c r="G6" s="3">
        <v>4331.1899999999996</v>
      </c>
      <c r="H6">
        <f t="shared" si="0"/>
        <v>100.48858207388993</v>
      </c>
      <c r="I6">
        <v>100.48858207388993</v>
      </c>
      <c r="J6" s="13">
        <v>20504.2</v>
      </c>
      <c r="K6">
        <v>10.408966254238017</v>
      </c>
      <c r="L6">
        <v>-23.185289508564143</v>
      </c>
    </row>
    <row r="7" spans="1:12" x14ac:dyDescent="0.3">
      <c r="A7" s="1">
        <v>34486</v>
      </c>
      <c r="D7" s="2">
        <v>0</v>
      </c>
      <c r="E7" s="2">
        <v>0</v>
      </c>
      <c r="F7" s="2">
        <v>13532.65</v>
      </c>
      <c r="G7" s="3">
        <v>4922.6000000000004</v>
      </c>
      <c r="H7">
        <f t="shared" si="0"/>
        <v>171.42615378489228</v>
      </c>
      <c r="I7">
        <v>171.42615378489228</v>
      </c>
      <c r="J7" s="13">
        <v>33126.6</v>
      </c>
      <c r="K7">
        <v>9.1524365635963889</v>
      </c>
      <c r="L7">
        <v>-18.09304110145963</v>
      </c>
    </row>
    <row r="8" spans="1:12" x14ac:dyDescent="0.3">
      <c r="A8" s="1">
        <v>34516</v>
      </c>
      <c r="D8" s="2">
        <v>0</v>
      </c>
      <c r="E8" s="2">
        <v>0</v>
      </c>
      <c r="F8">
        <v>131.03</v>
      </c>
      <c r="G8" s="3">
        <v>4005.08</v>
      </c>
      <c r="H8">
        <f t="shared" si="0"/>
        <v>-94.372095062702797</v>
      </c>
      <c r="I8">
        <v>-94.372095062702797</v>
      </c>
      <c r="J8" s="13">
        <v>40788</v>
      </c>
      <c r="K8">
        <v>14.188764402374865</v>
      </c>
      <c r="L8">
        <v>12.058362563232205</v>
      </c>
    </row>
    <row r="9" spans="1:12" x14ac:dyDescent="0.3">
      <c r="A9" s="1">
        <v>34547</v>
      </c>
      <c r="D9" s="2">
        <v>0</v>
      </c>
      <c r="E9" s="2">
        <v>0</v>
      </c>
      <c r="F9">
        <v>56.46</v>
      </c>
      <c r="G9" s="3">
        <v>3044.89</v>
      </c>
      <c r="H9">
        <f t="shared" si="0"/>
        <v>-95.024945228608942</v>
      </c>
      <c r="I9">
        <v>-95.024945228608942</v>
      </c>
      <c r="J9" s="13">
        <v>43873.4</v>
      </c>
      <c r="K9">
        <v>5.4487189933150049</v>
      </c>
      <c r="L9">
        <v>14.876438263615487</v>
      </c>
    </row>
    <row r="10" spans="1:12" x14ac:dyDescent="0.3">
      <c r="A10" s="1">
        <v>34578</v>
      </c>
      <c r="D10" s="2">
        <v>0</v>
      </c>
      <c r="E10" s="2">
        <v>0</v>
      </c>
      <c r="F10">
        <v>57.06</v>
      </c>
      <c r="G10" s="3">
        <v>2253.15</v>
      </c>
      <c r="H10">
        <f t="shared" si="0"/>
        <v>-93.325542358115726</v>
      </c>
      <c r="I10">
        <v>-93.325542358115726</v>
      </c>
      <c r="J10" s="13">
        <v>43836.2</v>
      </c>
      <c r="K10">
        <v>-1.6027700812076162</v>
      </c>
      <c r="L10">
        <v>7.5187512888978292</v>
      </c>
    </row>
    <row r="11" spans="1:12" x14ac:dyDescent="0.3">
      <c r="A11" s="1">
        <v>34608</v>
      </c>
      <c r="D11" s="2">
        <v>0</v>
      </c>
      <c r="E11" s="2">
        <v>0</v>
      </c>
      <c r="F11">
        <v>60.3</v>
      </c>
      <c r="G11" s="3">
        <v>1703.17</v>
      </c>
      <c r="H11">
        <f t="shared" si="0"/>
        <v>-91.110100545151042</v>
      </c>
      <c r="I11">
        <v>-91.110100545151042</v>
      </c>
      <c r="J11" s="13">
        <v>45234.9</v>
      </c>
      <c r="K11">
        <v>0.55439147643134845</v>
      </c>
      <c r="L11">
        <v>3.8318117445473865</v>
      </c>
    </row>
    <row r="12" spans="1:12" x14ac:dyDescent="0.3">
      <c r="A12" s="1">
        <v>34639</v>
      </c>
      <c r="D12" s="2">
        <v>0</v>
      </c>
      <c r="E12" s="2">
        <v>0</v>
      </c>
      <c r="F12">
        <v>65.36</v>
      </c>
      <c r="G12" s="3">
        <v>1267.54</v>
      </c>
      <c r="H12">
        <f t="shared" si="0"/>
        <v>-87.908214750574018</v>
      </c>
      <c r="I12">
        <v>-87.908214750574018</v>
      </c>
      <c r="J12" s="13">
        <v>45926.2</v>
      </c>
      <c r="K12">
        <v>-1.2540701977174606</v>
      </c>
      <c r="L12">
        <v>-0.65946054303841484</v>
      </c>
    </row>
    <row r="13" spans="1:12" x14ac:dyDescent="0.3">
      <c r="A13" s="1">
        <v>34669</v>
      </c>
      <c r="D13" s="2">
        <v>0</v>
      </c>
      <c r="E13" s="2">
        <v>0</v>
      </c>
      <c r="F13">
        <v>53.25</v>
      </c>
      <c r="G13" s="3">
        <v>916.46</v>
      </c>
      <c r="H13">
        <f t="shared" si="0"/>
        <v>-84.923164708891647</v>
      </c>
      <c r="I13">
        <v>-84.923164708891647</v>
      </c>
      <c r="J13" s="13">
        <v>44210.2</v>
      </c>
      <c r="K13">
        <v>-5.5036429759745431</v>
      </c>
      <c r="L13">
        <v>-8.1895465827935503</v>
      </c>
    </row>
    <row r="14" spans="1:12" x14ac:dyDescent="0.3">
      <c r="A14" s="1">
        <v>34700</v>
      </c>
      <c r="D14" s="2">
        <v>0</v>
      </c>
      <c r="E14" s="2">
        <v>0</v>
      </c>
      <c r="F14">
        <v>46.25</v>
      </c>
      <c r="G14" s="3">
        <v>631.54</v>
      </c>
      <c r="H14">
        <f t="shared" si="0"/>
        <v>-80.007928479645685</v>
      </c>
      <c r="I14">
        <v>-80.007928479645685</v>
      </c>
      <c r="J14" s="13">
        <v>47028.6</v>
      </c>
      <c r="K14">
        <v>4.4943104398074141</v>
      </c>
      <c r="L14">
        <v>-5.7624185161688768</v>
      </c>
    </row>
    <row r="15" spans="1:12" x14ac:dyDescent="0.3">
      <c r="A15" s="1">
        <v>34731</v>
      </c>
      <c r="D15" s="2">
        <v>0</v>
      </c>
      <c r="E15" s="2">
        <v>0</v>
      </c>
      <c r="F15">
        <v>56.54</v>
      </c>
      <c r="G15" s="3">
        <v>426.83</v>
      </c>
      <c r="H15">
        <f t="shared" si="0"/>
        <v>-70.286430157735907</v>
      </c>
      <c r="I15">
        <v>-70.286430157735907</v>
      </c>
      <c r="J15" s="13">
        <v>49954.5</v>
      </c>
      <c r="K15">
        <v>5.0212304901007698</v>
      </c>
      <c r="L15">
        <v>-2.0288292972912125</v>
      </c>
    </row>
    <row r="16" spans="1:12" x14ac:dyDescent="0.3">
      <c r="A16" s="1">
        <v>34759</v>
      </c>
      <c r="D16" s="2">
        <v>0</v>
      </c>
      <c r="E16" s="2">
        <v>0</v>
      </c>
      <c r="F16">
        <v>57.98</v>
      </c>
      <c r="G16" s="3">
        <v>274.77999999999997</v>
      </c>
      <c r="H16">
        <f t="shared" si="0"/>
        <v>-57.847270398633867</v>
      </c>
      <c r="I16">
        <v>-57.847270398633867</v>
      </c>
      <c r="J16" s="13">
        <v>60024.3</v>
      </c>
      <c r="K16">
        <v>16.825233576079945</v>
      </c>
      <c r="L16">
        <v>15.218080554444446</v>
      </c>
    </row>
    <row r="17" spans="1:12" x14ac:dyDescent="0.3">
      <c r="A17" s="1">
        <v>34790</v>
      </c>
      <c r="D17" s="2">
        <v>0</v>
      </c>
      <c r="E17" s="2">
        <v>0</v>
      </c>
      <c r="F17">
        <v>85.47</v>
      </c>
      <c r="G17" s="3">
        <v>169.05</v>
      </c>
      <c r="H17">
        <f t="shared" si="0"/>
        <v>-31.06485783311652</v>
      </c>
      <c r="I17">
        <v>-31.06485783311652</v>
      </c>
      <c r="J17" s="13">
        <v>57789.5</v>
      </c>
      <c r="K17">
        <v>-6.1952367447268841</v>
      </c>
      <c r="L17">
        <v>7.2460387574230234</v>
      </c>
    </row>
    <row r="18" spans="1:12" x14ac:dyDescent="0.3">
      <c r="A18" s="1">
        <v>34820</v>
      </c>
      <c r="D18" s="2">
        <v>0</v>
      </c>
      <c r="E18" s="2">
        <v>0</v>
      </c>
      <c r="F18">
        <v>61.05</v>
      </c>
      <c r="G18" s="3">
        <v>91.79</v>
      </c>
      <c r="H18">
        <f t="shared" si="0"/>
        <v>-16.0279472339538</v>
      </c>
      <c r="I18">
        <v>-16.0279472339538</v>
      </c>
      <c r="J18" s="13">
        <v>56350.5</v>
      </c>
      <c r="K18">
        <v>-5.156342153087401</v>
      </c>
      <c r="L18">
        <v>0.48869257743893169</v>
      </c>
    </row>
    <row r="19" spans="1:12" x14ac:dyDescent="0.3">
      <c r="A19" s="1">
        <v>34851</v>
      </c>
      <c r="D19" s="2">
        <v>0</v>
      </c>
      <c r="E19" s="2">
        <v>0</v>
      </c>
      <c r="F19">
        <v>60.84</v>
      </c>
      <c r="G19" s="3">
        <v>33.03</v>
      </c>
      <c r="H19">
        <f t="shared" si="0"/>
        <v>20.905059009246042</v>
      </c>
      <c r="I19">
        <v>20.905059009246042</v>
      </c>
      <c r="J19" s="13">
        <v>56726.2</v>
      </c>
      <c r="K19">
        <v>-1.5699452891805521</v>
      </c>
      <c r="L19">
        <v>-2.2067415292955417</v>
      </c>
    </row>
    <row r="20" spans="1:12" x14ac:dyDescent="0.3">
      <c r="A20" s="1">
        <v>34881</v>
      </c>
      <c r="D20" s="2">
        <v>0</v>
      </c>
      <c r="E20" s="2">
        <v>0</v>
      </c>
      <c r="F20">
        <v>60.53</v>
      </c>
      <c r="G20" s="3">
        <v>27.45</v>
      </c>
      <c r="H20">
        <f t="shared" si="0"/>
        <v>25.955276579050633</v>
      </c>
      <c r="I20">
        <v>25.955276579050633</v>
      </c>
      <c r="J20" s="13">
        <v>58788.1</v>
      </c>
      <c r="K20">
        <v>1.2381198538644611</v>
      </c>
      <c r="L20">
        <v>-2.0796707900901934</v>
      </c>
    </row>
    <row r="21" spans="1:12" x14ac:dyDescent="0.3">
      <c r="A21" s="1">
        <v>34912</v>
      </c>
      <c r="D21" s="2">
        <v>0</v>
      </c>
      <c r="E21" s="2">
        <v>0</v>
      </c>
      <c r="F21">
        <v>51.11</v>
      </c>
      <c r="G21" s="3">
        <v>26.36</v>
      </c>
      <c r="H21">
        <f t="shared" si="0"/>
        <v>19.586894586894577</v>
      </c>
      <c r="I21">
        <v>19.586894586894577</v>
      </c>
      <c r="J21" s="13">
        <v>60950.3</v>
      </c>
      <c r="K21">
        <v>2.62652643976935</v>
      </c>
      <c r="L21">
        <v>2.7371708634293945E-2</v>
      </c>
    </row>
    <row r="22" spans="1:12" x14ac:dyDescent="0.3">
      <c r="A22" s="1">
        <v>34943</v>
      </c>
      <c r="D22" s="2">
        <v>0</v>
      </c>
      <c r="E22" s="2">
        <v>0</v>
      </c>
      <c r="F22">
        <v>51</v>
      </c>
      <c r="G22" s="3">
        <v>25.69</v>
      </c>
      <c r="H22">
        <f t="shared" si="0"/>
        <v>20.13684461771026</v>
      </c>
      <c r="I22">
        <v>20.13684461771026</v>
      </c>
      <c r="J22" s="13">
        <v>60610.8</v>
      </c>
      <c r="K22">
        <v>-1.5435983543733656</v>
      </c>
      <c r="L22">
        <v>-1.7149056894308234</v>
      </c>
    </row>
    <row r="23" spans="1:12" x14ac:dyDescent="0.3">
      <c r="A23" s="1">
        <v>34973</v>
      </c>
      <c r="D23" s="2">
        <v>0</v>
      </c>
      <c r="E23" s="2">
        <v>0</v>
      </c>
      <c r="F23">
        <v>44.11</v>
      </c>
      <c r="G23" s="3">
        <v>24.21</v>
      </c>
      <c r="H23">
        <f t="shared" si="0"/>
        <v>16.021254327348842</v>
      </c>
      <c r="I23">
        <v>16.021254327348842</v>
      </c>
      <c r="J23" s="13">
        <v>63428.1</v>
      </c>
      <c r="K23">
        <v>3.1430028948495448</v>
      </c>
      <c r="L23">
        <v>2.5110552272020081</v>
      </c>
    </row>
    <row r="24" spans="1:12" x14ac:dyDescent="0.3">
      <c r="A24" s="1">
        <v>35004</v>
      </c>
      <c r="D24" s="2">
        <v>0</v>
      </c>
      <c r="E24" s="2">
        <v>0</v>
      </c>
      <c r="F24">
        <v>42.93</v>
      </c>
      <c r="G24" s="3">
        <v>22.59</v>
      </c>
      <c r="H24">
        <f t="shared" si="0"/>
        <v>16.591891671425074</v>
      </c>
      <c r="I24">
        <v>16.591891671425074</v>
      </c>
      <c r="J24" s="13">
        <v>67762.899999999994</v>
      </c>
      <c r="K24">
        <v>5.1513508532732288</v>
      </c>
      <c r="L24">
        <v>7.9571556841043778</v>
      </c>
    </row>
    <row r="25" spans="1:12" x14ac:dyDescent="0.3">
      <c r="A25" s="1">
        <v>35034</v>
      </c>
      <c r="D25" s="2">
        <v>0</v>
      </c>
      <c r="E25" s="2">
        <v>0</v>
      </c>
      <c r="F25">
        <v>41.22</v>
      </c>
      <c r="G25" s="4">
        <v>22.41</v>
      </c>
      <c r="H25">
        <f t="shared" si="0"/>
        <v>15.366391634670373</v>
      </c>
      <c r="I25">
        <v>15.366391634670373</v>
      </c>
      <c r="J25" s="13">
        <v>66577.7</v>
      </c>
      <c r="K25">
        <v>-3.3123227201695471</v>
      </c>
      <c r="L25">
        <v>3.955847424912573</v>
      </c>
    </row>
    <row r="26" spans="1:12" x14ac:dyDescent="0.3">
      <c r="A26" s="1">
        <v>35065</v>
      </c>
      <c r="D26" s="2">
        <v>0</v>
      </c>
      <c r="E26" s="2">
        <v>0</v>
      </c>
      <c r="F26">
        <v>33.83</v>
      </c>
      <c r="G26" s="3">
        <v>21.97</v>
      </c>
      <c r="H26">
        <f t="shared" si="0"/>
        <v>9.7237025498073226</v>
      </c>
      <c r="I26">
        <v>9.7237025498073226</v>
      </c>
      <c r="J26" s="13">
        <v>64133.3</v>
      </c>
      <c r="K26">
        <v>-5.0714843838797208</v>
      </c>
      <c r="L26">
        <v>-2.0896044545112957</v>
      </c>
    </row>
    <row r="27" spans="1:12" x14ac:dyDescent="0.3">
      <c r="A27" s="1">
        <v>35096</v>
      </c>
      <c r="D27" s="2">
        <v>0</v>
      </c>
      <c r="E27" s="2">
        <v>0</v>
      </c>
      <c r="F27">
        <v>36.11</v>
      </c>
      <c r="G27" s="3">
        <v>21.99</v>
      </c>
      <c r="H27">
        <f t="shared" si="0"/>
        <v>11.574719239281904</v>
      </c>
      <c r="I27">
        <v>11.574719239281904</v>
      </c>
      <c r="J27" s="13">
        <v>62202.2</v>
      </c>
      <c r="K27">
        <v>-4.0822820414307515</v>
      </c>
      <c r="L27">
        <v>-6.7232004256362448</v>
      </c>
    </row>
    <row r="28" spans="1:12" x14ac:dyDescent="0.3">
      <c r="A28" s="1">
        <v>35125</v>
      </c>
      <c r="D28" s="2">
        <v>0</v>
      </c>
      <c r="E28" s="2">
        <v>0</v>
      </c>
      <c r="F28">
        <v>30.16</v>
      </c>
      <c r="G28" s="3">
        <v>20.55</v>
      </c>
      <c r="H28">
        <f t="shared" si="0"/>
        <v>7.9717959352965551</v>
      </c>
      <c r="I28">
        <v>7.9717959352965551</v>
      </c>
      <c r="J28" s="13">
        <v>62987.8</v>
      </c>
      <c r="K28">
        <v>0.90557152678893971</v>
      </c>
      <c r="L28">
        <v>-6.0821709698036237</v>
      </c>
    </row>
    <row r="29" spans="1:12" x14ac:dyDescent="0.3">
      <c r="A29" s="1">
        <v>35156</v>
      </c>
      <c r="D29" s="2">
        <v>0</v>
      </c>
      <c r="E29" s="2">
        <v>0</v>
      </c>
      <c r="F29">
        <v>29.42</v>
      </c>
      <c r="G29" s="3">
        <v>19.170000000000002</v>
      </c>
      <c r="H29">
        <f t="shared" si="0"/>
        <v>8.6011580095661788</v>
      </c>
      <c r="I29">
        <v>8.6011580095661788</v>
      </c>
      <c r="J29" s="13">
        <v>64019.1</v>
      </c>
      <c r="K29">
        <v>0.3716983596014245</v>
      </c>
      <c r="L29">
        <v>-6.5775348450387234</v>
      </c>
    </row>
    <row r="30" spans="1:12" x14ac:dyDescent="0.3">
      <c r="A30" s="1">
        <v>35186</v>
      </c>
      <c r="D30" s="2">
        <v>0</v>
      </c>
      <c r="E30" s="2">
        <v>0</v>
      </c>
      <c r="F30">
        <v>25.64</v>
      </c>
      <c r="G30" s="3">
        <v>17.489999999999998</v>
      </c>
      <c r="H30">
        <f t="shared" si="0"/>
        <v>6.9367605753681172</v>
      </c>
      <c r="I30">
        <v>6.9367605753681172</v>
      </c>
      <c r="J30" s="13">
        <v>69488.7</v>
      </c>
      <c r="K30">
        <v>6.9858334157981261</v>
      </c>
      <c r="L30">
        <v>-0.79183467343917346</v>
      </c>
    </row>
    <row r="31" spans="1:12" x14ac:dyDescent="0.3">
      <c r="A31" s="1">
        <v>35217</v>
      </c>
      <c r="D31" s="2">
        <v>0</v>
      </c>
      <c r="E31" s="2">
        <v>0</v>
      </c>
      <c r="F31">
        <v>29.65</v>
      </c>
      <c r="G31" s="3">
        <v>16.260000000000002</v>
      </c>
      <c r="H31">
        <f t="shared" si="0"/>
        <v>11.517288835369</v>
      </c>
      <c r="I31">
        <v>11.517288835369</v>
      </c>
      <c r="J31" s="13">
        <v>71103</v>
      </c>
      <c r="K31">
        <v>1.1137118455350148</v>
      </c>
      <c r="L31">
        <v>-0.33976964974296031</v>
      </c>
    </row>
    <row r="32" spans="1:12" x14ac:dyDescent="0.3">
      <c r="A32" s="1">
        <v>35247</v>
      </c>
      <c r="D32" s="2">
        <v>0</v>
      </c>
      <c r="E32" s="2">
        <v>0</v>
      </c>
      <c r="F32">
        <v>23.28</v>
      </c>
      <c r="G32" s="3">
        <v>14.84</v>
      </c>
      <c r="H32">
        <f t="shared" si="0"/>
        <v>7.3493556252177017</v>
      </c>
      <c r="I32">
        <v>7.3493556252177017</v>
      </c>
      <c r="J32" s="13">
        <v>74969.899999999994</v>
      </c>
      <c r="K32">
        <v>4.1915953358143909</v>
      </c>
      <c r="L32">
        <v>3.5212770065592425</v>
      </c>
    </row>
    <row r="33" spans="1:12" x14ac:dyDescent="0.3">
      <c r="A33" s="1">
        <v>35278</v>
      </c>
      <c r="D33" s="2">
        <v>0</v>
      </c>
      <c r="E33" s="2">
        <v>0</v>
      </c>
      <c r="F33">
        <v>25.01</v>
      </c>
      <c r="G33" s="3">
        <v>14.21</v>
      </c>
      <c r="H33">
        <f t="shared" si="0"/>
        <v>9.4562647754137039</v>
      </c>
      <c r="I33">
        <v>9.4562647754137039</v>
      </c>
      <c r="J33" s="13">
        <v>74798.8</v>
      </c>
      <c r="K33">
        <v>-0.6676346647275011</v>
      </c>
      <c r="L33">
        <v>2.772808078319744</v>
      </c>
    </row>
    <row r="34" spans="1:12" x14ac:dyDescent="0.3">
      <c r="A34" s="1">
        <v>35309</v>
      </c>
      <c r="D34" s="2">
        <v>0</v>
      </c>
      <c r="E34" s="2">
        <v>0</v>
      </c>
      <c r="F34">
        <v>25.4</v>
      </c>
      <c r="G34" s="3">
        <v>13.26</v>
      </c>
      <c r="H34">
        <f t="shared" si="0"/>
        <v>10.718700335511212</v>
      </c>
      <c r="I34">
        <v>10.718700335511212</v>
      </c>
      <c r="J34" s="13">
        <v>71744.600000000006</v>
      </c>
      <c r="K34">
        <v>-4.3188357599813543</v>
      </c>
      <c r="L34">
        <v>-1.8148679270642565</v>
      </c>
    </row>
    <row r="35" spans="1:12" x14ac:dyDescent="0.3">
      <c r="A35" s="1">
        <v>35339</v>
      </c>
      <c r="D35" s="2">
        <v>0</v>
      </c>
      <c r="E35" s="2">
        <v>0</v>
      </c>
      <c r="F35">
        <v>23.48</v>
      </c>
      <c r="G35" s="3">
        <v>12.02</v>
      </c>
      <c r="H35">
        <f t="shared" si="0"/>
        <v>10.23031601499731</v>
      </c>
      <c r="I35">
        <v>10.23031601499731</v>
      </c>
      <c r="J35" s="13">
        <v>77200.100000000006</v>
      </c>
      <c r="K35">
        <v>7.0289281438371987</v>
      </c>
      <c r="L35">
        <v>4.8771729544796694</v>
      </c>
    </row>
    <row r="36" spans="1:12" x14ac:dyDescent="0.3">
      <c r="A36" s="1">
        <v>35370</v>
      </c>
      <c r="D36" s="2">
        <v>0</v>
      </c>
      <c r="E36" s="2">
        <v>0</v>
      </c>
      <c r="F36">
        <v>25.27</v>
      </c>
      <c r="G36" s="3">
        <v>10.75</v>
      </c>
      <c r="H36">
        <f t="shared" si="0"/>
        <v>13.110609480812641</v>
      </c>
      <c r="I36">
        <v>13.110609480812641</v>
      </c>
      <c r="J36" s="13">
        <v>80449.100000000006</v>
      </c>
      <c r="K36">
        <v>3.8027639799084412</v>
      </c>
      <c r="L36">
        <v>8.0428010709284727</v>
      </c>
    </row>
    <row r="37" spans="1:12" x14ac:dyDescent="0.3">
      <c r="A37" s="1">
        <v>35400</v>
      </c>
      <c r="D37" s="2">
        <v>0</v>
      </c>
      <c r="E37" s="2">
        <v>0</v>
      </c>
      <c r="F37">
        <v>23.94</v>
      </c>
      <c r="G37" s="4">
        <v>9.56</v>
      </c>
      <c r="H37">
        <f t="shared" si="0"/>
        <v>13.125228185469172</v>
      </c>
      <c r="I37">
        <v>13.125228185469172</v>
      </c>
      <c r="J37" s="13">
        <v>81667.100000000006</v>
      </c>
      <c r="K37">
        <v>1.0335529072323268</v>
      </c>
      <c r="L37">
        <v>8.5274308066196625</v>
      </c>
    </row>
    <row r="38" spans="1:12" x14ac:dyDescent="0.3">
      <c r="A38" s="1">
        <v>35431</v>
      </c>
      <c r="D38" s="2">
        <v>0</v>
      </c>
      <c r="E38" s="2">
        <v>0</v>
      </c>
      <c r="F38">
        <v>21.73</v>
      </c>
      <c r="G38" s="3">
        <v>9.39</v>
      </c>
      <c r="H38">
        <f t="shared" si="0"/>
        <v>11.280738641557718</v>
      </c>
      <c r="I38">
        <v>11.280738641557718</v>
      </c>
      <c r="J38" s="13">
        <v>77582.600000000006</v>
      </c>
      <c r="K38">
        <v>-6.3041707383030499</v>
      </c>
      <c r="L38">
        <v>1.3214335689403667</v>
      </c>
    </row>
    <row r="39" spans="1:12" x14ac:dyDescent="0.3">
      <c r="A39" s="1">
        <v>35462</v>
      </c>
      <c r="D39" s="2">
        <v>0</v>
      </c>
      <c r="E39" s="2">
        <v>0</v>
      </c>
      <c r="F39">
        <v>26.14</v>
      </c>
      <c r="G39" s="3">
        <v>8.82</v>
      </c>
      <c r="H39">
        <f t="shared" si="0"/>
        <v>15.91619187649329</v>
      </c>
      <c r="I39">
        <v>15.91619187649329</v>
      </c>
      <c r="J39" s="13">
        <v>71072.800000000003</v>
      </c>
      <c r="K39">
        <v>-9.26284295432378</v>
      </c>
      <c r="L39">
        <v>-7.8775275517415144</v>
      </c>
    </row>
    <row r="40" spans="1:12" x14ac:dyDescent="0.3">
      <c r="A40" s="1">
        <v>35490</v>
      </c>
      <c r="D40" s="2">
        <v>0</v>
      </c>
      <c r="E40" s="2">
        <v>0</v>
      </c>
      <c r="F40">
        <v>24.11</v>
      </c>
      <c r="G40" s="3">
        <v>8.99</v>
      </c>
      <c r="H40">
        <f t="shared" si="0"/>
        <v>13.872832369942167</v>
      </c>
      <c r="I40">
        <v>13.872832369942167</v>
      </c>
      <c r="J40" s="13">
        <v>70461.600000000006</v>
      </c>
      <c r="K40">
        <v>-1.3724025236042436</v>
      </c>
      <c r="L40">
        <v>-9.3934897824085262</v>
      </c>
    </row>
    <row r="41" spans="1:12" x14ac:dyDescent="0.3">
      <c r="A41" s="1">
        <v>35521</v>
      </c>
      <c r="D41" s="2">
        <v>0</v>
      </c>
      <c r="E41" s="2">
        <v>0</v>
      </c>
      <c r="F41">
        <v>21.84</v>
      </c>
      <c r="G41" s="3">
        <v>8.58</v>
      </c>
      <c r="H41">
        <f t="shared" si="0"/>
        <v>12.212193774175706</v>
      </c>
      <c r="I41">
        <v>12.212193774175706</v>
      </c>
      <c r="J41" s="13">
        <v>73576.399999999994</v>
      </c>
      <c r="K41">
        <v>3.4495675816121008</v>
      </c>
      <c r="L41">
        <v>-7.2385261757414892</v>
      </c>
    </row>
    <row r="42" spans="1:12" x14ac:dyDescent="0.3">
      <c r="A42" s="1">
        <v>35551</v>
      </c>
      <c r="D42" s="2">
        <v>0</v>
      </c>
      <c r="E42" s="2">
        <v>0</v>
      </c>
      <c r="F42">
        <v>21.91</v>
      </c>
      <c r="G42" s="3">
        <v>7.71</v>
      </c>
      <c r="H42">
        <f t="shared" si="0"/>
        <v>13.183548417045788</v>
      </c>
      <c r="I42">
        <v>13.183548417045788</v>
      </c>
      <c r="J42" s="13">
        <v>78110.8</v>
      </c>
      <c r="K42">
        <v>5.5714372614035668</v>
      </c>
      <c r="L42">
        <v>-2.2840406232566002</v>
      </c>
    </row>
    <row r="43" spans="1:12" x14ac:dyDescent="0.3">
      <c r="A43" s="1">
        <v>35582</v>
      </c>
      <c r="D43" s="2">
        <v>0</v>
      </c>
      <c r="E43" s="2">
        <v>0</v>
      </c>
      <c r="F43">
        <v>21.08</v>
      </c>
      <c r="G43" s="3">
        <v>7.02</v>
      </c>
      <c r="H43">
        <f t="shared" si="0"/>
        <v>13.137731265184073</v>
      </c>
      <c r="I43">
        <v>13.137731265184073</v>
      </c>
      <c r="J43" s="13">
        <v>81202.399999999994</v>
      </c>
      <c r="K43">
        <v>3.3431794527839287</v>
      </c>
      <c r="L43">
        <v>1.406027556449696</v>
      </c>
    </row>
    <row r="44" spans="1:12" x14ac:dyDescent="0.3">
      <c r="A44" s="1">
        <v>35612</v>
      </c>
      <c r="D44" s="2">
        <v>0</v>
      </c>
      <c r="E44" s="2">
        <v>0</v>
      </c>
      <c r="F44">
        <v>19.04</v>
      </c>
      <c r="G44" s="3">
        <v>6.08</v>
      </c>
      <c r="H44">
        <f t="shared" si="0"/>
        <v>12.217194570135748</v>
      </c>
      <c r="I44">
        <v>12.217194570135748</v>
      </c>
      <c r="J44" s="13">
        <v>82058.7</v>
      </c>
      <c r="K44">
        <v>0.82936308427967731</v>
      </c>
      <c r="L44">
        <v>2.9479358229410169</v>
      </c>
    </row>
    <row r="45" spans="1:12" x14ac:dyDescent="0.3">
      <c r="A45" s="1">
        <v>35643</v>
      </c>
      <c r="D45" s="2">
        <v>0</v>
      </c>
      <c r="E45" s="2">
        <v>0</v>
      </c>
      <c r="F45">
        <v>20.78</v>
      </c>
      <c r="G45" s="3">
        <v>5.59</v>
      </c>
      <c r="H45">
        <f t="shared" si="0"/>
        <v>14.385831991665876</v>
      </c>
      <c r="I45">
        <v>14.385831991665876</v>
      </c>
      <c r="J45" s="13">
        <v>82132.5</v>
      </c>
      <c r="K45">
        <v>0.10958688595810173</v>
      </c>
      <c r="L45">
        <v>3.6293724506169633</v>
      </c>
    </row>
    <row r="46" spans="1:12" x14ac:dyDescent="0.3">
      <c r="A46" s="1">
        <v>35674</v>
      </c>
      <c r="D46" s="2">
        <v>0</v>
      </c>
      <c r="E46" s="2">
        <v>0</v>
      </c>
      <c r="F46">
        <v>19.809999999999999</v>
      </c>
      <c r="G46" s="3">
        <v>5.5</v>
      </c>
      <c r="H46">
        <f t="shared" si="0"/>
        <v>13.563981042654039</v>
      </c>
      <c r="I46">
        <v>13.563981042654039</v>
      </c>
      <c r="J46" s="13">
        <v>81987.3</v>
      </c>
      <c r="K46">
        <v>-0.2367103120381131</v>
      </c>
      <c r="L46">
        <v>2.8146520955939058</v>
      </c>
    </row>
    <row r="47" spans="1:12" x14ac:dyDescent="0.3">
      <c r="A47" s="1">
        <v>35704</v>
      </c>
      <c r="D47" s="2">
        <v>0</v>
      </c>
      <c r="E47" s="2">
        <v>0</v>
      </c>
      <c r="F47">
        <v>19.93</v>
      </c>
      <c r="G47" s="3">
        <v>5.42</v>
      </c>
      <c r="H47">
        <f t="shared" si="0"/>
        <v>13.763991652437868</v>
      </c>
      <c r="I47">
        <v>13.763991652437868</v>
      </c>
      <c r="J47" s="13">
        <v>87297.2</v>
      </c>
      <c r="K47">
        <v>6.0458109737595578</v>
      </c>
      <c r="L47">
        <v>8.4732346378149526</v>
      </c>
    </row>
    <row r="48" spans="1:12" x14ac:dyDescent="0.3">
      <c r="A48" s="1">
        <v>35735</v>
      </c>
      <c r="D48" s="2">
        <v>0</v>
      </c>
      <c r="E48" s="2">
        <v>0</v>
      </c>
      <c r="F48">
        <v>45.9</v>
      </c>
      <c r="G48" s="3">
        <v>5.27</v>
      </c>
      <c r="H48">
        <f t="shared" si="0"/>
        <v>38.595991260568077</v>
      </c>
      <c r="I48">
        <v>38.595991260568077</v>
      </c>
      <c r="J48" s="13">
        <v>85390.1</v>
      </c>
      <c r="K48">
        <v>-2.378395514760534</v>
      </c>
      <c r="L48">
        <v>5.1021336628857439</v>
      </c>
    </row>
    <row r="49" spans="1:12" x14ac:dyDescent="0.3">
      <c r="A49" s="1">
        <v>35765</v>
      </c>
      <c r="D49" s="2">
        <v>0</v>
      </c>
      <c r="E49" s="2">
        <v>0</v>
      </c>
      <c r="F49">
        <v>39.869999999999997</v>
      </c>
      <c r="G49" s="4">
        <v>5.22</v>
      </c>
      <c r="H49">
        <f t="shared" si="0"/>
        <v>32.931001710701381</v>
      </c>
      <c r="I49">
        <v>32.931001710701381</v>
      </c>
      <c r="J49" s="13">
        <v>81216.800000000003</v>
      </c>
      <c r="K49">
        <v>-5.4397590018286479</v>
      </c>
      <c r="L49">
        <v>-0.86022198279038786</v>
      </c>
    </row>
    <row r="50" spans="1:12" x14ac:dyDescent="0.3">
      <c r="A50" s="1">
        <v>35796</v>
      </c>
      <c r="D50" s="2">
        <v>0</v>
      </c>
      <c r="E50" s="2">
        <v>0</v>
      </c>
      <c r="F50">
        <v>37.19</v>
      </c>
      <c r="G50" s="3">
        <v>4.7300000000000004</v>
      </c>
      <c r="H50">
        <f t="shared" si="0"/>
        <v>30.993984531652828</v>
      </c>
      <c r="I50">
        <v>30.993984531652828</v>
      </c>
      <c r="J50" s="13">
        <v>79363.899999999994</v>
      </c>
      <c r="K50">
        <v>-3.0150201211684546</v>
      </c>
      <c r="L50">
        <v>-4.0752895183302273</v>
      </c>
    </row>
    <row r="51" spans="1:12" x14ac:dyDescent="0.3">
      <c r="A51" s="1">
        <v>35827</v>
      </c>
      <c r="D51" s="2">
        <v>0</v>
      </c>
      <c r="E51" s="2">
        <v>0</v>
      </c>
      <c r="F51">
        <v>34.32</v>
      </c>
      <c r="G51" s="3">
        <v>4.6900000000000004</v>
      </c>
      <c r="H51">
        <f t="shared" si="0"/>
        <v>28.302607698920635</v>
      </c>
      <c r="I51">
        <v>28.302607698920635</v>
      </c>
      <c r="J51" s="13">
        <v>75828.100000000006</v>
      </c>
      <c r="K51">
        <v>-5.0167329081038048</v>
      </c>
      <c r="L51">
        <v>-8.9562771132904793</v>
      </c>
    </row>
    <row r="52" spans="1:12" x14ac:dyDescent="0.3">
      <c r="A52" s="1">
        <v>35855</v>
      </c>
      <c r="D52" s="2">
        <v>0</v>
      </c>
      <c r="E52" s="2">
        <v>0</v>
      </c>
      <c r="F52">
        <v>28.32</v>
      </c>
      <c r="G52" s="3">
        <v>4.5199999999999996</v>
      </c>
      <c r="H52">
        <f t="shared" si="0"/>
        <v>22.770761576731722</v>
      </c>
      <c r="I52">
        <v>22.770761576731722</v>
      </c>
      <c r="J52" s="13">
        <v>80508.7</v>
      </c>
      <c r="K52">
        <v>5.6505095601520949</v>
      </c>
      <c r="L52">
        <v>-3.7249306670445792</v>
      </c>
    </row>
    <row r="53" spans="1:12" x14ac:dyDescent="0.3">
      <c r="A53" s="1">
        <v>35886</v>
      </c>
      <c r="D53" s="2">
        <v>0</v>
      </c>
      <c r="E53" s="2">
        <v>0</v>
      </c>
      <c r="F53">
        <v>25.16</v>
      </c>
      <c r="G53" s="3">
        <v>3.85</v>
      </c>
      <c r="H53">
        <f t="shared" si="0"/>
        <v>20.519980741454024</v>
      </c>
      <c r="I53">
        <v>20.519980741454024</v>
      </c>
      <c r="J53" s="13">
        <v>81166.100000000006</v>
      </c>
      <c r="K53">
        <v>0.57386705992321652</v>
      </c>
      <c r="L53">
        <v>-3.4766305246952456</v>
      </c>
    </row>
    <row r="54" spans="1:12" x14ac:dyDescent="0.3">
      <c r="A54" s="1">
        <v>35916</v>
      </c>
      <c r="D54" s="2">
        <v>0</v>
      </c>
      <c r="E54" s="2">
        <v>0</v>
      </c>
      <c r="F54">
        <v>22.6</v>
      </c>
      <c r="G54" s="3">
        <v>3.95</v>
      </c>
      <c r="H54">
        <f t="shared" si="0"/>
        <v>17.941317941317926</v>
      </c>
      <c r="I54">
        <v>17.941317941317926</v>
      </c>
      <c r="J54" s="13">
        <v>85207.5</v>
      </c>
      <c r="K54">
        <v>4.3603255902860738</v>
      </c>
      <c r="L54">
        <v>1.0726172999054207</v>
      </c>
    </row>
    <row r="55" spans="1:12" x14ac:dyDescent="0.3">
      <c r="A55" s="1">
        <v>35947</v>
      </c>
      <c r="D55" s="2">
        <v>0</v>
      </c>
      <c r="E55" s="2">
        <v>0</v>
      </c>
      <c r="F55">
        <v>21.02</v>
      </c>
      <c r="G55" s="3">
        <v>3.41</v>
      </c>
      <c r="H55">
        <f t="shared" si="0"/>
        <v>17.029300841311269</v>
      </c>
      <c r="I55">
        <v>17.029300841311269</v>
      </c>
      <c r="J55" s="13">
        <v>85562.4</v>
      </c>
      <c r="K55">
        <v>0.39588147205602553</v>
      </c>
      <c r="L55">
        <v>1.8592064719261003</v>
      </c>
    </row>
    <row r="56" spans="1:12" x14ac:dyDescent="0.3">
      <c r="A56" s="1">
        <v>35977</v>
      </c>
      <c r="D56" s="2">
        <v>0</v>
      </c>
      <c r="E56" s="2">
        <v>0</v>
      </c>
      <c r="F56">
        <v>20.329999999999998</v>
      </c>
      <c r="G56" s="3">
        <v>3.06</v>
      </c>
      <c r="H56">
        <f t="shared" si="0"/>
        <v>16.757228798758007</v>
      </c>
      <c r="I56">
        <v>16.757228798758007</v>
      </c>
      <c r="J56" s="13">
        <v>86938.5</v>
      </c>
      <c r="K56">
        <v>1.7155239818205104</v>
      </c>
      <c r="L56">
        <v>3.8309798584934995</v>
      </c>
    </row>
    <row r="57" spans="1:12" x14ac:dyDescent="0.3">
      <c r="A57" s="1">
        <v>36008</v>
      </c>
      <c r="D57" s="2">
        <v>0</v>
      </c>
      <c r="E57" s="2">
        <v>0</v>
      </c>
      <c r="F57">
        <v>19.23</v>
      </c>
      <c r="G57" s="3">
        <v>2.5499999999999998</v>
      </c>
      <c r="H57">
        <f t="shared" si="0"/>
        <v>16.26523647001461</v>
      </c>
      <c r="I57">
        <v>16.26523647001461</v>
      </c>
      <c r="J57" s="13">
        <v>86371.3</v>
      </c>
      <c r="K57">
        <v>-0.1435395605074774</v>
      </c>
      <c r="L57">
        <v>3.7373743372362878</v>
      </c>
    </row>
    <row r="58" spans="1:12" x14ac:dyDescent="0.3">
      <c r="A58" s="1">
        <v>36039</v>
      </c>
      <c r="D58" s="2">
        <v>0</v>
      </c>
      <c r="E58" s="2">
        <v>0</v>
      </c>
      <c r="F58">
        <v>34.29</v>
      </c>
      <c r="G58" s="3">
        <v>2.27</v>
      </c>
      <c r="H58">
        <f t="shared" si="0"/>
        <v>31.309279358560673</v>
      </c>
      <c r="I58">
        <v>31.309279358560673</v>
      </c>
      <c r="J58" s="13">
        <v>84733.5</v>
      </c>
      <c r="K58">
        <v>-1.6940440315813987</v>
      </c>
      <c r="L58">
        <v>1.0491605799722858</v>
      </c>
    </row>
    <row r="59" spans="1:12" x14ac:dyDescent="0.3">
      <c r="A59" s="1">
        <v>36069</v>
      </c>
      <c r="D59" s="2">
        <v>0</v>
      </c>
      <c r="E59" s="2">
        <v>0</v>
      </c>
      <c r="F59">
        <v>41.6</v>
      </c>
      <c r="G59" s="3">
        <v>2.0499999999999998</v>
      </c>
      <c r="H59">
        <f t="shared" si="0"/>
        <v>38.755512003919648</v>
      </c>
      <c r="I59">
        <v>38.755512003919648</v>
      </c>
      <c r="J59" s="13">
        <v>87302.8</v>
      </c>
      <c r="K59">
        <v>2.9672186570664394</v>
      </c>
      <c r="L59">
        <v>3.6945508531271543</v>
      </c>
    </row>
    <row r="60" spans="1:12" x14ac:dyDescent="0.3">
      <c r="A60" s="1">
        <v>36100</v>
      </c>
      <c r="D60" s="2">
        <v>0</v>
      </c>
      <c r="E60" s="2">
        <v>0</v>
      </c>
      <c r="F60">
        <v>38.729999999999997</v>
      </c>
      <c r="G60" s="3">
        <v>1.76</v>
      </c>
      <c r="H60">
        <f t="shared" si="0"/>
        <v>36.330581761006272</v>
      </c>
      <c r="I60">
        <v>36.330581761006272</v>
      </c>
      <c r="J60" s="13">
        <v>86316.5</v>
      </c>
      <c r="K60">
        <v>-1.0158413423535961</v>
      </c>
      <c r="L60">
        <v>2.1895334899314278</v>
      </c>
    </row>
    <row r="61" spans="1:12" ht="15" thickBot="1" x14ac:dyDescent="0.35">
      <c r="A61" s="1">
        <v>36130</v>
      </c>
      <c r="D61" s="2">
        <v>0</v>
      </c>
      <c r="E61" s="2">
        <v>0</v>
      </c>
      <c r="F61">
        <v>31.24</v>
      </c>
      <c r="G61" s="5">
        <v>1.65</v>
      </c>
      <c r="H61">
        <f t="shared" si="0"/>
        <v>29.109690113133311</v>
      </c>
      <c r="I61">
        <v>29.109690113133311</v>
      </c>
      <c r="J61" s="13">
        <v>83051.8</v>
      </c>
      <c r="K61">
        <v>-4.1853423000054235</v>
      </c>
      <c r="L61">
        <v>-2.3144859746971114</v>
      </c>
    </row>
    <row r="62" spans="1:12" ht="15" thickTop="1" x14ac:dyDescent="0.3">
      <c r="A62" s="1">
        <v>36161</v>
      </c>
      <c r="D62">
        <v>2.71</v>
      </c>
      <c r="E62">
        <v>0</v>
      </c>
      <c r="F62">
        <v>31.19</v>
      </c>
      <c r="G62" s="4">
        <v>1.65</v>
      </c>
      <c r="H62">
        <f t="shared" si="0"/>
        <v>29.060501721593713</v>
      </c>
      <c r="I62">
        <v>29.060501721593713</v>
      </c>
      <c r="J62" s="13">
        <v>80936.3</v>
      </c>
      <c r="K62">
        <v>-3.277946834649903</v>
      </c>
      <c r="L62">
        <v>-5.6164202690924476</v>
      </c>
    </row>
    <row r="63" spans="1:12" x14ac:dyDescent="0.3">
      <c r="A63" s="1">
        <v>36192</v>
      </c>
      <c r="D63">
        <v>2.21</v>
      </c>
      <c r="E63">
        <v>0</v>
      </c>
      <c r="F63">
        <v>38.97</v>
      </c>
      <c r="G63" s="3">
        <v>2.2400000000000002</v>
      </c>
      <c r="H63">
        <f t="shared" si="0"/>
        <v>35.925273865414709</v>
      </c>
      <c r="I63">
        <v>35.925273865414709</v>
      </c>
      <c r="J63" s="13">
        <v>80929.100000000006</v>
      </c>
      <c r="K63">
        <v>-1.0535362981293872</v>
      </c>
      <c r="L63">
        <v>-6.6746076633213081</v>
      </c>
    </row>
    <row r="64" spans="1:12" x14ac:dyDescent="0.3">
      <c r="A64" s="1">
        <v>36220</v>
      </c>
      <c r="D64">
        <v>3.94</v>
      </c>
      <c r="E64">
        <v>0</v>
      </c>
      <c r="F64">
        <v>43.25</v>
      </c>
      <c r="G64" s="3">
        <v>3.02</v>
      </c>
      <c r="H64">
        <f t="shared" si="0"/>
        <v>39.050669772859649</v>
      </c>
      <c r="I64">
        <v>39.050669772859649</v>
      </c>
      <c r="J64" s="13">
        <v>88802.6</v>
      </c>
      <c r="K64">
        <v>8.1903945943281542</v>
      </c>
      <c r="L64">
        <v>1.3735615905503318</v>
      </c>
    </row>
    <row r="65" spans="1:12" x14ac:dyDescent="0.3">
      <c r="A65" s="1">
        <v>36251</v>
      </c>
      <c r="D65">
        <v>1.48</v>
      </c>
      <c r="E65">
        <v>0</v>
      </c>
      <c r="F65">
        <v>36.119999999999997</v>
      </c>
      <c r="G65" s="3">
        <v>3.35</v>
      </c>
      <c r="H65">
        <f t="shared" si="0"/>
        <v>31.707789066279624</v>
      </c>
      <c r="I65">
        <v>31.707789066279624</v>
      </c>
      <c r="J65" s="13">
        <v>87739</v>
      </c>
      <c r="K65">
        <v>-1.7633251953855122</v>
      </c>
      <c r="L65">
        <v>-0.796738366064631</v>
      </c>
    </row>
    <row r="66" spans="1:12" x14ac:dyDescent="0.3">
      <c r="A66" s="1">
        <v>36281</v>
      </c>
      <c r="D66">
        <v>0.13</v>
      </c>
      <c r="E66">
        <v>0</v>
      </c>
      <c r="F66">
        <v>27.11</v>
      </c>
      <c r="G66" s="3">
        <v>3.14</v>
      </c>
      <c r="H66">
        <f t="shared" si="0"/>
        <v>23.240255962769062</v>
      </c>
      <c r="I66">
        <v>23.240255962769062</v>
      </c>
      <c r="J66" s="13">
        <v>89223</v>
      </c>
      <c r="K66">
        <v>1.3773971605214541</v>
      </c>
      <c r="L66">
        <v>0.17757045446138431</v>
      </c>
    </row>
    <row r="67" spans="1:12" x14ac:dyDescent="0.3">
      <c r="A67" s="1">
        <v>36312</v>
      </c>
      <c r="D67">
        <v>4.29</v>
      </c>
      <c r="E67">
        <v>0</v>
      </c>
      <c r="F67">
        <v>22.01</v>
      </c>
      <c r="G67" s="3">
        <v>3.32</v>
      </c>
      <c r="H67">
        <f t="shared" ref="H67:H130" si="1">((1+F67/100)/(1+G67/100)-1)*100</f>
        <v>18.089430894308943</v>
      </c>
      <c r="I67">
        <v>18.089430894308943</v>
      </c>
      <c r="J67" s="13">
        <v>91746.9</v>
      </c>
      <c r="K67">
        <v>2.5999848360360289</v>
      </c>
      <c r="L67">
        <v>2.4430851619372529</v>
      </c>
    </row>
    <row r="68" spans="1:12" x14ac:dyDescent="0.3">
      <c r="A68" s="1">
        <v>36342</v>
      </c>
      <c r="D68">
        <v>4.2</v>
      </c>
      <c r="E68">
        <v>0</v>
      </c>
      <c r="F68">
        <v>20.74</v>
      </c>
      <c r="G68" s="4">
        <v>4.57</v>
      </c>
      <c r="H68">
        <f t="shared" si="1"/>
        <v>15.463326001721335</v>
      </c>
      <c r="I68">
        <v>15.463326001721335</v>
      </c>
      <c r="J68" s="13">
        <v>91230.399999999994</v>
      </c>
      <c r="K68">
        <v>-1.6484031661766707</v>
      </c>
      <c r="L68">
        <v>0.64206881036823482</v>
      </c>
    </row>
    <row r="69" spans="1:12" x14ac:dyDescent="0.3">
      <c r="A69" s="1">
        <v>36373</v>
      </c>
      <c r="D69">
        <v>3.32</v>
      </c>
      <c r="E69">
        <v>0</v>
      </c>
      <c r="F69">
        <v>19.510000000000002</v>
      </c>
      <c r="G69" s="3">
        <v>5.69</v>
      </c>
      <c r="H69">
        <f t="shared" si="1"/>
        <v>13.075976913615307</v>
      </c>
      <c r="I69">
        <v>13.075976913615307</v>
      </c>
      <c r="J69" s="13">
        <v>92283.4</v>
      </c>
      <c r="K69">
        <v>0.58929126482958338</v>
      </c>
      <c r="L69">
        <v>0.94538810239042093</v>
      </c>
    </row>
    <row r="70" spans="1:12" x14ac:dyDescent="0.3">
      <c r="A70" s="1">
        <v>36404</v>
      </c>
      <c r="D70">
        <v>4.03</v>
      </c>
      <c r="E70">
        <v>0</v>
      </c>
      <c r="F70">
        <v>19.38</v>
      </c>
      <c r="G70" s="4">
        <v>6.25</v>
      </c>
      <c r="H70">
        <f t="shared" si="1"/>
        <v>12.357647058823517</v>
      </c>
      <c r="I70">
        <v>12.357647058823517</v>
      </c>
      <c r="J70" s="13">
        <v>90611.8</v>
      </c>
      <c r="K70">
        <v>-2.1376810273732616</v>
      </c>
      <c r="L70">
        <v>-1.5950019595570075</v>
      </c>
    </row>
    <row r="71" spans="1:12" x14ac:dyDescent="0.3">
      <c r="A71" s="1">
        <v>36434</v>
      </c>
      <c r="D71">
        <v>0.88</v>
      </c>
      <c r="E71">
        <v>0</v>
      </c>
      <c r="F71">
        <v>18.91</v>
      </c>
      <c r="G71" s="3">
        <v>7.5</v>
      </c>
      <c r="H71">
        <f t="shared" si="1"/>
        <v>10.613953488372108</v>
      </c>
      <c r="I71">
        <v>10.613953488372108</v>
      </c>
      <c r="J71" s="13">
        <v>95872.4</v>
      </c>
      <c r="K71">
        <v>4.4600986076282823</v>
      </c>
      <c r="L71">
        <v>3.2221298020962186</v>
      </c>
    </row>
    <row r="72" spans="1:12" x14ac:dyDescent="0.3">
      <c r="A72" s="1">
        <v>36465</v>
      </c>
      <c r="D72">
        <v>0.44</v>
      </c>
      <c r="E72">
        <v>0</v>
      </c>
      <c r="F72">
        <v>18.95</v>
      </c>
      <c r="G72" s="3">
        <v>8.65</v>
      </c>
      <c r="H72">
        <f t="shared" si="1"/>
        <v>9.47998159226875</v>
      </c>
      <c r="I72">
        <v>9.47998159226875</v>
      </c>
      <c r="J72" s="13">
        <v>99563.1</v>
      </c>
      <c r="K72">
        <v>2.8318431727143434</v>
      </c>
      <c r="L72">
        <v>5.7587986218125886</v>
      </c>
    </row>
    <row r="73" spans="1:12" x14ac:dyDescent="0.3">
      <c r="A73" s="1">
        <v>36495</v>
      </c>
      <c r="D73">
        <v>-1.25</v>
      </c>
      <c r="E73">
        <v>0</v>
      </c>
      <c r="F73">
        <v>18.989999999999998</v>
      </c>
      <c r="G73" s="4">
        <v>8.94</v>
      </c>
      <c r="H73">
        <f t="shared" si="1"/>
        <v>9.2252616118964514</v>
      </c>
      <c r="I73">
        <v>9.2252616118964514</v>
      </c>
      <c r="J73" s="13">
        <v>98772.5</v>
      </c>
      <c r="K73">
        <v>-1.3951601835797689</v>
      </c>
      <c r="L73">
        <v>3.6742657368534104</v>
      </c>
    </row>
    <row r="74" spans="1:12" x14ac:dyDescent="0.3">
      <c r="A74" s="1">
        <v>36526</v>
      </c>
      <c r="D74">
        <v>1.28</v>
      </c>
      <c r="E74">
        <v>0</v>
      </c>
      <c r="F74">
        <v>18.940000000000001</v>
      </c>
      <c r="G74" s="4">
        <v>8.85</v>
      </c>
      <c r="H74">
        <f t="shared" si="1"/>
        <v>9.2696371152962698</v>
      </c>
      <c r="I74">
        <v>9.2696371152962698</v>
      </c>
      <c r="J74" s="13">
        <v>92576.6</v>
      </c>
      <c r="K74">
        <v>-7.0964255647112395</v>
      </c>
      <c r="L74">
        <v>-3.7378513361315369</v>
      </c>
    </row>
    <row r="75" spans="1:12" x14ac:dyDescent="0.3">
      <c r="A75" s="1">
        <v>36557</v>
      </c>
      <c r="D75">
        <v>2.66</v>
      </c>
      <c r="E75">
        <v>0</v>
      </c>
      <c r="F75">
        <v>18.87</v>
      </c>
      <c r="G75" s="4">
        <v>7.86</v>
      </c>
      <c r="H75">
        <f t="shared" si="1"/>
        <v>10.207676617837947</v>
      </c>
      <c r="I75">
        <v>10.207676617837947</v>
      </c>
      <c r="J75" s="13">
        <v>91770.4</v>
      </c>
      <c r="K75">
        <v>-1.0047051601768331</v>
      </c>
      <c r="L75">
        <v>-5.154649647187215</v>
      </c>
    </row>
    <row r="76" spans="1:12" x14ac:dyDescent="0.3">
      <c r="A76" s="1">
        <v>36586</v>
      </c>
      <c r="D76">
        <v>5.4</v>
      </c>
      <c r="E76">
        <v>0</v>
      </c>
      <c r="F76">
        <v>18.850000000000001</v>
      </c>
      <c r="G76" s="4">
        <v>6.92</v>
      </c>
      <c r="H76">
        <f t="shared" si="1"/>
        <v>11.157875046763932</v>
      </c>
      <c r="I76">
        <v>11.157875046763932</v>
      </c>
      <c r="J76" s="13">
        <v>92579.9</v>
      </c>
      <c r="K76">
        <v>0.65853384332470455</v>
      </c>
      <c r="L76">
        <v>-4.5677938036138954</v>
      </c>
    </row>
    <row r="77" spans="1:12" x14ac:dyDescent="0.3">
      <c r="A77" s="1">
        <v>36617</v>
      </c>
      <c r="D77">
        <v>2.42</v>
      </c>
      <c r="E77">
        <v>0</v>
      </c>
      <c r="F77">
        <v>18.62</v>
      </c>
      <c r="G77" s="3">
        <v>6.77</v>
      </c>
      <c r="H77">
        <f t="shared" si="1"/>
        <v>11.09862320876649</v>
      </c>
      <c r="I77">
        <v>11.09862320876649</v>
      </c>
      <c r="J77" s="13">
        <v>91376.2</v>
      </c>
      <c r="K77">
        <v>-1.728016997475379</v>
      </c>
      <c r="L77">
        <v>-6.8534031212406195</v>
      </c>
    </row>
    <row r="78" spans="1:12" x14ac:dyDescent="0.3">
      <c r="A78" s="1">
        <v>36647</v>
      </c>
      <c r="D78">
        <v>3.31</v>
      </c>
      <c r="E78">
        <v>0</v>
      </c>
      <c r="F78">
        <v>18.510000000000002</v>
      </c>
      <c r="G78" s="3">
        <v>6.47</v>
      </c>
      <c r="H78">
        <f t="shared" si="1"/>
        <v>11.308349769888238</v>
      </c>
      <c r="I78">
        <v>11.308349769888238</v>
      </c>
      <c r="J78" s="13">
        <v>98727</v>
      </c>
      <c r="K78">
        <v>7.7274086906230721</v>
      </c>
      <c r="L78">
        <v>0.24382145931751698</v>
      </c>
    </row>
    <row r="79" spans="1:12" x14ac:dyDescent="0.3">
      <c r="A79" s="1">
        <v>36678</v>
      </c>
      <c r="D79">
        <v>1.69</v>
      </c>
      <c r="E79">
        <v>0</v>
      </c>
      <c r="F79">
        <v>18.04</v>
      </c>
      <c r="G79" s="3">
        <v>6.51</v>
      </c>
      <c r="H79">
        <f t="shared" si="1"/>
        <v>10.825274622101233</v>
      </c>
      <c r="I79">
        <v>10.825274622101233</v>
      </c>
      <c r="J79" s="13">
        <v>102685.4</v>
      </c>
      <c r="K79">
        <v>3.7011081773524523</v>
      </c>
      <c r="L79">
        <v>4.0462321673749413</v>
      </c>
    </row>
    <row r="80" spans="1:12" x14ac:dyDescent="0.3">
      <c r="A80" s="1">
        <v>36708</v>
      </c>
      <c r="D80">
        <v>0.44</v>
      </c>
      <c r="E80">
        <v>0</v>
      </c>
      <c r="F80">
        <v>16.850000000000001</v>
      </c>
      <c r="G80" s="4">
        <v>7.06</v>
      </c>
      <c r="H80">
        <f t="shared" si="1"/>
        <v>9.1444050065383919</v>
      </c>
      <c r="I80">
        <v>9.1444050065383919</v>
      </c>
      <c r="J80" s="13">
        <v>103410.4</v>
      </c>
      <c r="K80">
        <v>-0.89389922086837714</v>
      </c>
      <c r="L80">
        <v>3.3307555302648062</v>
      </c>
    </row>
    <row r="81" spans="1:12" x14ac:dyDescent="0.3">
      <c r="A81" s="1">
        <v>36739</v>
      </c>
      <c r="D81">
        <v>4.45</v>
      </c>
      <c r="E81">
        <v>0</v>
      </c>
      <c r="F81">
        <v>16.52</v>
      </c>
      <c r="G81" s="3">
        <v>7.86</v>
      </c>
      <c r="H81">
        <f t="shared" si="1"/>
        <v>8.0289263860559892</v>
      </c>
      <c r="I81">
        <v>8.0289263860559892</v>
      </c>
      <c r="J81" s="13">
        <v>105177.8</v>
      </c>
      <c r="K81">
        <v>0.39330537432888946</v>
      </c>
      <c r="L81">
        <v>3.4981633751287378</v>
      </c>
    </row>
    <row r="82" spans="1:12" x14ac:dyDescent="0.3">
      <c r="A82" s="1">
        <v>36770</v>
      </c>
      <c r="D82">
        <v>1.76</v>
      </c>
      <c r="E82">
        <v>0</v>
      </c>
      <c r="F82">
        <v>16.559999999999999</v>
      </c>
      <c r="G82" s="4">
        <v>7.77</v>
      </c>
      <c r="H82">
        <f t="shared" si="1"/>
        <v>8.1562586990813646</v>
      </c>
      <c r="I82">
        <v>8.1562586990813646</v>
      </c>
      <c r="J82" s="13">
        <v>100307.6</v>
      </c>
      <c r="K82">
        <v>-4.9706433132351791</v>
      </c>
      <c r="L82">
        <v>-2.2701438665758356</v>
      </c>
    </row>
    <row r="83" spans="1:12" x14ac:dyDescent="0.3">
      <c r="A83" s="1">
        <v>36800</v>
      </c>
      <c r="D83">
        <v>-1.34</v>
      </c>
      <c r="E83">
        <v>0</v>
      </c>
      <c r="F83">
        <v>16.600000000000001</v>
      </c>
      <c r="G83" s="4">
        <v>6.65</v>
      </c>
      <c r="H83">
        <f t="shared" si="1"/>
        <v>9.329582747304265</v>
      </c>
      <c r="I83">
        <v>9.329582747304265</v>
      </c>
      <c r="J83" s="13">
        <v>106951.1</v>
      </c>
      <c r="K83">
        <v>6.2732614842447632</v>
      </c>
      <c r="L83">
        <v>3.4211016358270063</v>
      </c>
    </row>
    <row r="84" spans="1:12" x14ac:dyDescent="0.3">
      <c r="A84" s="1">
        <v>36831</v>
      </c>
      <c r="D84">
        <v>1.91</v>
      </c>
      <c r="E84">
        <v>0</v>
      </c>
      <c r="F84">
        <v>16.510000000000002</v>
      </c>
      <c r="G84" s="4">
        <v>5.99</v>
      </c>
      <c r="H84">
        <f t="shared" si="1"/>
        <v>9.9254646664779678</v>
      </c>
      <c r="I84">
        <v>9.9254646664779678</v>
      </c>
      <c r="J84" s="13">
        <v>107678</v>
      </c>
      <c r="K84">
        <v>0.35777437177078042</v>
      </c>
      <c r="L84">
        <v>2.8013713672215612</v>
      </c>
    </row>
    <row r="85" spans="1:12" x14ac:dyDescent="0.3">
      <c r="A85" s="1">
        <v>36861</v>
      </c>
      <c r="D85">
        <v>-2.33</v>
      </c>
      <c r="E85">
        <v>0</v>
      </c>
      <c r="F85">
        <v>16.190000000000001</v>
      </c>
      <c r="G85" s="4">
        <v>5.97</v>
      </c>
      <c r="H85">
        <f t="shared" si="1"/>
        <v>9.6442389355477776</v>
      </c>
      <c r="I85">
        <v>9.6442389355477776</v>
      </c>
      <c r="J85" s="13">
        <v>105851.6</v>
      </c>
      <c r="K85">
        <v>-2.2987323530152537</v>
      </c>
      <c r="L85">
        <v>0.55605374222176263</v>
      </c>
    </row>
    <row r="86" spans="1:12" x14ac:dyDescent="0.3">
      <c r="A86" s="1">
        <v>36892</v>
      </c>
      <c r="D86">
        <v>2.59</v>
      </c>
      <c r="E86">
        <v>0</v>
      </c>
      <c r="F86">
        <v>15.49</v>
      </c>
      <c r="G86" s="6">
        <v>5.92</v>
      </c>
      <c r="H86">
        <f t="shared" si="1"/>
        <v>9.0351208459214618</v>
      </c>
      <c r="I86">
        <v>9.0351208459214618</v>
      </c>
      <c r="J86" s="13">
        <v>102530.7</v>
      </c>
      <c r="K86">
        <v>-3.7562156843325312</v>
      </c>
      <c r="L86">
        <v>-3.087473430956944</v>
      </c>
    </row>
    <row r="87" spans="1:12" x14ac:dyDescent="0.3">
      <c r="A87" s="1">
        <v>36923</v>
      </c>
      <c r="D87">
        <v>1.1100000000000001</v>
      </c>
      <c r="E87">
        <v>0</v>
      </c>
      <c r="F87">
        <v>15.2</v>
      </c>
      <c r="G87" s="7">
        <v>6.27</v>
      </c>
      <c r="H87">
        <f t="shared" si="1"/>
        <v>8.4031241178131211</v>
      </c>
      <c r="I87">
        <v>8.4031241178131211</v>
      </c>
      <c r="J87" s="13">
        <v>101635.3</v>
      </c>
      <c r="K87">
        <v>-1.3361906664856704</v>
      </c>
      <c r="L87">
        <v>-4.479472912507509</v>
      </c>
    </row>
    <row r="88" spans="1:12" x14ac:dyDescent="0.3">
      <c r="A88" s="1">
        <v>36951</v>
      </c>
      <c r="D88">
        <v>3.63</v>
      </c>
      <c r="E88">
        <v>0</v>
      </c>
      <c r="F88">
        <v>15.39</v>
      </c>
      <c r="G88" s="7">
        <v>6.44</v>
      </c>
      <c r="H88">
        <f t="shared" si="1"/>
        <v>8.4084930477264166</v>
      </c>
      <c r="I88">
        <v>8.4084930477264166</v>
      </c>
      <c r="J88" s="13">
        <v>108303.8</v>
      </c>
      <c r="K88">
        <v>5.9758441235524984</v>
      </c>
      <c r="L88">
        <v>1.651264405598174</v>
      </c>
    </row>
    <row r="89" spans="1:12" x14ac:dyDescent="0.3">
      <c r="A89" s="1">
        <v>36982</v>
      </c>
      <c r="D89">
        <v>6.11</v>
      </c>
      <c r="E89">
        <v>0</v>
      </c>
      <c r="F89">
        <v>16.02</v>
      </c>
      <c r="G89" s="7">
        <v>6.61</v>
      </c>
      <c r="H89">
        <f t="shared" si="1"/>
        <v>8.8265641121846095</v>
      </c>
      <c r="I89">
        <v>8.8265641121846095</v>
      </c>
      <c r="J89" s="13">
        <v>107572</v>
      </c>
      <c r="K89">
        <v>-1.2561664833359742</v>
      </c>
      <c r="L89">
        <v>-0.20012729820492181</v>
      </c>
    </row>
    <row r="90" spans="1:12" x14ac:dyDescent="0.3">
      <c r="A90" s="1">
        <v>37012</v>
      </c>
      <c r="D90">
        <v>3.66</v>
      </c>
      <c r="E90">
        <v>0</v>
      </c>
      <c r="F90">
        <v>16.43</v>
      </c>
      <c r="G90" s="7">
        <v>7.04</v>
      </c>
      <c r="H90">
        <f t="shared" si="1"/>
        <v>8.772421524663665</v>
      </c>
      <c r="I90">
        <v>8.772421524663665</v>
      </c>
      <c r="J90" s="13">
        <v>111202.2</v>
      </c>
      <c r="K90">
        <v>2.9098506209940922</v>
      </c>
      <c r="L90">
        <v>2.5773044567247494</v>
      </c>
    </row>
    <row r="91" spans="1:12" x14ac:dyDescent="0.3">
      <c r="A91" s="1">
        <v>37043</v>
      </c>
      <c r="D91">
        <v>1.37</v>
      </c>
      <c r="E91">
        <v>0</v>
      </c>
      <c r="F91">
        <v>17.28</v>
      </c>
      <c r="G91" s="7">
        <v>7.35</v>
      </c>
      <c r="H91">
        <f t="shared" si="1"/>
        <v>9.2501164415463641</v>
      </c>
      <c r="I91">
        <v>9.2501164415463641</v>
      </c>
      <c r="J91" s="13">
        <v>104949.4</v>
      </c>
      <c r="K91">
        <v>-6.3060583373356849</v>
      </c>
      <c r="L91">
        <v>-3.4564554494861954</v>
      </c>
    </row>
    <row r="92" spans="1:12" x14ac:dyDescent="0.3">
      <c r="A92" s="1">
        <v>37073</v>
      </c>
      <c r="D92">
        <v>1.18</v>
      </c>
      <c r="E92">
        <v>0</v>
      </c>
      <c r="F92">
        <v>18.57</v>
      </c>
      <c r="G92" s="7">
        <v>7.05</v>
      </c>
      <c r="H92">
        <f t="shared" si="1"/>
        <v>10.761326482951894</v>
      </c>
      <c r="I92">
        <v>10.761326482951894</v>
      </c>
      <c r="J92" s="13">
        <v>110758.9</v>
      </c>
      <c r="K92">
        <v>4.066622158110178</v>
      </c>
      <c r="L92">
        <v>0.69911868758276707</v>
      </c>
    </row>
    <row r="93" spans="1:12" x14ac:dyDescent="0.3">
      <c r="A93" s="1">
        <v>37104</v>
      </c>
      <c r="D93">
        <v>2.23</v>
      </c>
      <c r="E93">
        <v>0</v>
      </c>
      <c r="F93">
        <v>19</v>
      </c>
      <c r="G93" s="6">
        <v>6.41</v>
      </c>
      <c r="H93">
        <f t="shared" si="1"/>
        <v>11.831594774927169</v>
      </c>
      <c r="I93">
        <v>11.831594774927169</v>
      </c>
      <c r="J93" s="13">
        <v>113064.7</v>
      </c>
      <c r="K93">
        <v>1.3631079718356531</v>
      </c>
      <c r="L93">
        <v>2.0306858707342057</v>
      </c>
    </row>
    <row r="94" spans="1:12" x14ac:dyDescent="0.3">
      <c r="A94" s="1">
        <v>37135</v>
      </c>
      <c r="D94">
        <v>1.87</v>
      </c>
      <c r="E94">
        <v>0</v>
      </c>
      <c r="F94">
        <v>19.059999999999999</v>
      </c>
      <c r="G94" s="7">
        <v>6.46</v>
      </c>
      <c r="H94">
        <f t="shared" si="1"/>
        <v>11.835431147848951</v>
      </c>
      <c r="I94">
        <v>11.835431147848951</v>
      </c>
      <c r="J94" s="13">
        <v>108700.8</v>
      </c>
      <c r="K94">
        <v>-4.2156029281938956</v>
      </c>
      <c r="L94">
        <v>-2.7340569623636068</v>
      </c>
    </row>
    <row r="95" spans="1:12" x14ac:dyDescent="0.3">
      <c r="A95" s="1">
        <v>37165</v>
      </c>
      <c r="D95">
        <v>1.68</v>
      </c>
      <c r="E95">
        <v>0</v>
      </c>
      <c r="F95">
        <v>19.059999999999999</v>
      </c>
      <c r="G95" s="7">
        <v>7.19</v>
      </c>
      <c r="H95">
        <f t="shared" si="1"/>
        <v>11.073794197219877</v>
      </c>
      <c r="I95">
        <v>11.073794197219877</v>
      </c>
      <c r="J95" s="13">
        <v>116139</v>
      </c>
      <c r="K95">
        <v>5.792297217534248</v>
      </c>
      <c r="L95">
        <v>2.8795475809588744</v>
      </c>
    </row>
    <row r="96" spans="1:12" x14ac:dyDescent="0.3">
      <c r="A96" s="1">
        <v>37196</v>
      </c>
      <c r="D96">
        <v>0.77</v>
      </c>
      <c r="E96">
        <v>0</v>
      </c>
      <c r="F96">
        <v>19.05</v>
      </c>
      <c r="G96" s="7">
        <v>7.61</v>
      </c>
      <c r="H96">
        <f t="shared" si="1"/>
        <v>10.630982250720189</v>
      </c>
      <c r="I96">
        <v>10.630982250720189</v>
      </c>
      <c r="J96" s="13">
        <v>117882</v>
      </c>
      <c r="K96">
        <v>0.7819519640836603</v>
      </c>
      <c r="L96">
        <v>3.203438452538987</v>
      </c>
    </row>
    <row r="97" spans="1:12" x14ac:dyDescent="0.3">
      <c r="A97" s="1">
        <v>37226</v>
      </c>
      <c r="D97">
        <v>-5.18</v>
      </c>
      <c r="E97">
        <v>-4.47</v>
      </c>
      <c r="F97">
        <v>19.05</v>
      </c>
      <c r="G97" s="7">
        <v>7.67</v>
      </c>
      <c r="H97">
        <f t="shared" si="1"/>
        <v>10.569332218816774</v>
      </c>
      <c r="I97">
        <v>10.569332218816774</v>
      </c>
      <c r="J97" s="13">
        <v>113016.7</v>
      </c>
      <c r="K97">
        <v>-4.862964085794097</v>
      </c>
      <c r="L97">
        <v>-1.8916145219665337</v>
      </c>
    </row>
    <row r="98" spans="1:12" x14ac:dyDescent="0.3">
      <c r="A98" s="1">
        <v>37257</v>
      </c>
      <c r="D98">
        <v>6.28</v>
      </c>
      <c r="E98">
        <v>5.79</v>
      </c>
      <c r="F98">
        <v>19.05</v>
      </c>
      <c r="G98" s="4">
        <v>7.62</v>
      </c>
      <c r="H98">
        <f t="shared" si="1"/>
        <v>10.620702471659538</v>
      </c>
      <c r="I98">
        <v>10.620702471659538</v>
      </c>
      <c r="J98" s="13">
        <v>112374.8</v>
      </c>
      <c r="K98">
        <v>-1.0884725092934033</v>
      </c>
      <c r="L98">
        <v>-3.7264775887640655</v>
      </c>
    </row>
    <row r="99" spans="1:12" x14ac:dyDescent="0.3">
      <c r="A99" s="1">
        <v>37288</v>
      </c>
      <c r="D99">
        <v>1.97</v>
      </c>
      <c r="E99">
        <v>4.18</v>
      </c>
      <c r="F99">
        <v>18.97</v>
      </c>
      <c r="G99" s="4">
        <v>7.51</v>
      </c>
      <c r="H99">
        <f t="shared" si="1"/>
        <v>10.659473537345377</v>
      </c>
      <c r="I99">
        <v>10.659473537345377</v>
      </c>
      <c r="J99" s="13">
        <v>111477.1</v>
      </c>
      <c r="K99">
        <v>-1.1614339893931458</v>
      </c>
      <c r="L99">
        <v>-5.3135338542207311</v>
      </c>
    </row>
    <row r="100" spans="1:12" x14ac:dyDescent="0.3">
      <c r="A100" s="1">
        <v>37316</v>
      </c>
      <c r="D100">
        <v>2</v>
      </c>
      <c r="E100">
        <v>3.57</v>
      </c>
      <c r="F100">
        <v>18.72</v>
      </c>
      <c r="G100" s="4">
        <v>7.75</v>
      </c>
      <c r="H100">
        <f t="shared" si="1"/>
        <v>10.180974477958248</v>
      </c>
      <c r="I100">
        <v>10.180974477958248</v>
      </c>
      <c r="J100" s="13">
        <v>118444.7</v>
      </c>
      <c r="K100">
        <v>5.4645924879039853</v>
      </c>
      <c r="L100">
        <v>-0.16756601515516278</v>
      </c>
    </row>
    <row r="101" spans="1:12" x14ac:dyDescent="0.3">
      <c r="A101" s="1">
        <v>37347</v>
      </c>
      <c r="D101">
        <v>4.8099999999999996</v>
      </c>
      <c r="E101">
        <v>5.9</v>
      </c>
      <c r="F101">
        <v>18.38</v>
      </c>
      <c r="G101" s="4">
        <v>7.98</v>
      </c>
      <c r="H101">
        <f t="shared" si="1"/>
        <v>9.6314132246712258</v>
      </c>
      <c r="I101">
        <v>9.6314132246712258</v>
      </c>
      <c r="J101" s="13">
        <v>120385.9</v>
      </c>
      <c r="K101">
        <v>0.82863791975533729</v>
      </c>
      <c r="L101">
        <v>-0.21244395239462532</v>
      </c>
    </row>
    <row r="102" spans="1:12" x14ac:dyDescent="0.3">
      <c r="A102" s="1">
        <v>37377</v>
      </c>
      <c r="D102">
        <v>1.53</v>
      </c>
      <c r="E102">
        <v>2.87</v>
      </c>
      <c r="F102">
        <v>18.37</v>
      </c>
      <c r="G102" s="4">
        <v>7.77</v>
      </c>
      <c r="H102">
        <f t="shared" si="1"/>
        <v>9.8357613436021119</v>
      </c>
      <c r="I102">
        <v>9.8357613436021119</v>
      </c>
      <c r="J102" s="13">
        <v>123552.5</v>
      </c>
      <c r="K102">
        <v>2.3868155131353319</v>
      </c>
      <c r="L102">
        <v>1.8233982114035374</v>
      </c>
    </row>
    <row r="103" spans="1:12" x14ac:dyDescent="0.3">
      <c r="A103" s="1">
        <v>37408</v>
      </c>
      <c r="D103">
        <v>1.5</v>
      </c>
      <c r="E103">
        <v>3.32</v>
      </c>
      <c r="F103">
        <v>18.100000000000001</v>
      </c>
      <c r="G103" s="4">
        <v>7.66</v>
      </c>
      <c r="H103">
        <f t="shared" si="1"/>
        <v>9.6971948727475379</v>
      </c>
      <c r="I103">
        <v>9.6971948727475379</v>
      </c>
      <c r="J103" s="13">
        <v>123424.4</v>
      </c>
      <c r="K103">
        <v>-0.52261242814370945</v>
      </c>
      <c r="L103">
        <v>1.4845470489589063</v>
      </c>
    </row>
    <row r="104" spans="1:12" x14ac:dyDescent="0.3">
      <c r="A104" s="1">
        <v>37438</v>
      </c>
      <c r="D104">
        <v>1.69</v>
      </c>
      <c r="E104">
        <v>3</v>
      </c>
      <c r="F104">
        <v>18.170000000000002</v>
      </c>
      <c r="G104" s="3">
        <v>7.51</v>
      </c>
      <c r="H104">
        <f t="shared" si="1"/>
        <v>9.915356711003632</v>
      </c>
      <c r="I104">
        <v>9.915356711003632</v>
      </c>
      <c r="J104" s="13">
        <v>126856.6</v>
      </c>
      <c r="K104">
        <v>1.5596429910901932</v>
      </c>
      <c r="L104">
        <v>3.2469829232015801</v>
      </c>
    </row>
    <row r="105" spans="1:12" x14ac:dyDescent="0.3">
      <c r="A105" s="1">
        <v>37469</v>
      </c>
      <c r="D105">
        <v>1.17</v>
      </c>
      <c r="E105">
        <v>0.96</v>
      </c>
      <c r="F105">
        <v>17.84</v>
      </c>
      <c r="G105" s="3">
        <v>7.46</v>
      </c>
      <c r="H105">
        <f t="shared" si="1"/>
        <v>9.6594081518704513</v>
      </c>
      <c r="I105">
        <v>9.6594081518704513</v>
      </c>
      <c r="J105" s="13">
        <v>127800.1</v>
      </c>
      <c r="K105">
        <v>9.3288265765956169E-2</v>
      </c>
      <c r="L105">
        <v>3.3017399471571007</v>
      </c>
    </row>
    <row r="106" spans="1:12" x14ac:dyDescent="0.3">
      <c r="A106" s="1">
        <v>37500</v>
      </c>
      <c r="D106">
        <v>4.9000000000000004</v>
      </c>
      <c r="E106">
        <v>6.81</v>
      </c>
      <c r="F106">
        <v>17.89</v>
      </c>
      <c r="G106" s="3">
        <v>7.93</v>
      </c>
      <c r="H106">
        <f t="shared" si="1"/>
        <v>9.2282034652089386</v>
      </c>
      <c r="I106">
        <v>9.2282034652089386</v>
      </c>
      <c r="J106" s="13">
        <v>125137.8</v>
      </c>
      <c r="K106">
        <v>-2.8224117359005874</v>
      </c>
      <c r="L106">
        <v>-1.1595007612319463E-2</v>
      </c>
    </row>
    <row r="107" spans="1:12" x14ac:dyDescent="0.3">
      <c r="A107" s="1">
        <v>37530</v>
      </c>
      <c r="D107">
        <v>3.28</v>
      </c>
      <c r="E107">
        <v>4.71</v>
      </c>
      <c r="F107">
        <v>19.59</v>
      </c>
      <c r="G107" s="3">
        <v>8.4499999999999993</v>
      </c>
      <c r="H107">
        <f t="shared" si="1"/>
        <v>10.272014753342539</v>
      </c>
      <c r="I107">
        <v>10.272014753342539</v>
      </c>
      <c r="J107" s="13">
        <v>133125.4</v>
      </c>
      <c r="K107">
        <v>4.8858886536175206</v>
      </c>
      <c r="L107">
        <v>4.8825312167550372</v>
      </c>
    </row>
    <row r="108" spans="1:12" x14ac:dyDescent="0.3">
      <c r="A108" s="1">
        <v>37561</v>
      </c>
      <c r="D108">
        <v>1.18</v>
      </c>
      <c r="E108">
        <v>2.77</v>
      </c>
      <c r="F108">
        <v>21.25</v>
      </c>
      <c r="G108" s="3">
        <v>10.93</v>
      </c>
      <c r="H108">
        <f t="shared" si="1"/>
        <v>9.3031641575768376</v>
      </c>
      <c r="I108">
        <v>9.3031641575768376</v>
      </c>
      <c r="J108" s="13">
        <v>135966.6</v>
      </c>
      <c r="K108">
        <v>-0.86374083280507108</v>
      </c>
      <c r="L108">
        <v>4.0830342299345013</v>
      </c>
    </row>
    <row r="109" spans="1:12" x14ac:dyDescent="0.3">
      <c r="A109" s="1">
        <v>37591</v>
      </c>
      <c r="D109">
        <v>-3.24</v>
      </c>
      <c r="E109">
        <v>-4.7699999999999996</v>
      </c>
      <c r="F109">
        <v>23.03</v>
      </c>
      <c r="G109" s="3">
        <v>12.53</v>
      </c>
      <c r="H109">
        <f t="shared" si="1"/>
        <v>9.3308451079711965</v>
      </c>
      <c r="I109">
        <v>9.3308451079711965</v>
      </c>
      <c r="J109" s="13">
        <v>130241.2</v>
      </c>
      <c r="K109">
        <v>-6.3801518750077335</v>
      </c>
      <c r="L109">
        <v>-1.9984407200664633</v>
      </c>
    </row>
    <row r="110" spans="1:12" x14ac:dyDescent="0.3">
      <c r="A110" s="1">
        <v>37622</v>
      </c>
      <c r="D110">
        <v>5.37</v>
      </c>
      <c r="E110">
        <v>6.16</v>
      </c>
      <c r="F110">
        <v>25.06</v>
      </c>
      <c r="G110" s="3">
        <v>14.47</v>
      </c>
      <c r="H110">
        <f t="shared" si="1"/>
        <v>9.2513322267842923</v>
      </c>
      <c r="I110">
        <v>9.2513322267842923</v>
      </c>
      <c r="J110" s="13">
        <v>127177.5</v>
      </c>
      <c r="K110">
        <v>-4.605734976806275</v>
      </c>
      <c r="L110">
        <v>-6.5012536169261619</v>
      </c>
    </row>
    <row r="111" spans="1:12" x14ac:dyDescent="0.3">
      <c r="A111" s="1">
        <v>37653</v>
      </c>
      <c r="D111">
        <v>3.49</v>
      </c>
      <c r="E111">
        <v>5.3</v>
      </c>
      <c r="F111">
        <v>25.68</v>
      </c>
      <c r="G111" s="3">
        <v>15.85</v>
      </c>
      <c r="H111">
        <f t="shared" si="1"/>
        <v>8.4851100561070147</v>
      </c>
      <c r="I111">
        <v>8.4851100561070147</v>
      </c>
      <c r="J111" s="13">
        <v>131373.6</v>
      </c>
      <c r="K111">
        <v>1.6881117031481097</v>
      </c>
      <c r="L111">
        <v>-4.8012231290726737</v>
      </c>
    </row>
    <row r="112" spans="1:12" x14ac:dyDescent="0.3">
      <c r="A112" s="1">
        <v>37681</v>
      </c>
      <c r="D112">
        <v>2.4700000000000002</v>
      </c>
      <c r="E112">
        <v>3.3</v>
      </c>
      <c r="F112">
        <v>26.32</v>
      </c>
      <c r="G112" s="3">
        <v>16.57</v>
      </c>
      <c r="H112">
        <f t="shared" si="1"/>
        <v>8.3640730891309865</v>
      </c>
      <c r="I112">
        <v>8.3640730891309865</v>
      </c>
      <c r="J112" s="13">
        <v>138690.5</v>
      </c>
      <c r="K112">
        <v>4.1973145621007291</v>
      </c>
      <c r="L112">
        <v>-0.73885819236342298</v>
      </c>
    </row>
    <row r="113" spans="1:12" x14ac:dyDescent="0.3">
      <c r="A113" s="1">
        <v>37712</v>
      </c>
      <c r="D113">
        <v>7.33</v>
      </c>
      <c r="E113">
        <v>8.14</v>
      </c>
      <c r="F113">
        <v>26.32</v>
      </c>
      <c r="G113" s="3">
        <v>16.77</v>
      </c>
      <c r="H113">
        <f t="shared" si="1"/>
        <v>8.178470497559287</v>
      </c>
      <c r="I113">
        <v>8.178470497559287</v>
      </c>
      <c r="J113" s="13">
        <v>141388.1</v>
      </c>
      <c r="K113">
        <v>0.96112198773230517</v>
      </c>
      <c r="L113">
        <v>-0.33494113015932747</v>
      </c>
    </row>
    <row r="114" spans="1:12" x14ac:dyDescent="0.3">
      <c r="A114" s="1">
        <v>37742</v>
      </c>
      <c r="D114">
        <v>2.42</v>
      </c>
      <c r="E114">
        <v>3.42</v>
      </c>
      <c r="F114">
        <v>26.31</v>
      </c>
      <c r="G114" s="3">
        <v>17.239999999999998</v>
      </c>
      <c r="H114">
        <f t="shared" si="1"/>
        <v>7.7362674854998259</v>
      </c>
      <c r="I114">
        <v>7.7362674854998259</v>
      </c>
      <c r="J114" s="13">
        <v>139605.79999999999</v>
      </c>
      <c r="K114">
        <v>-1.8768119661579874</v>
      </c>
      <c r="L114">
        <v>-2.2597823875564971</v>
      </c>
    </row>
    <row r="115" spans="1:12" x14ac:dyDescent="0.3">
      <c r="A115" s="1">
        <v>37773</v>
      </c>
      <c r="D115">
        <v>0.65</v>
      </c>
      <c r="E115">
        <v>1.1599999999999999</v>
      </c>
      <c r="F115">
        <v>26.09</v>
      </c>
      <c r="G115" s="3">
        <v>16.57</v>
      </c>
      <c r="H115">
        <f t="shared" si="1"/>
        <v>8.1667667495925134</v>
      </c>
      <c r="I115">
        <v>8.1667667495925134</v>
      </c>
      <c r="J115" s="13">
        <v>137993.4</v>
      </c>
      <c r="K115">
        <v>-1.0114718317492333</v>
      </c>
      <c r="L115">
        <v>-3.3486298496234079</v>
      </c>
    </row>
    <row r="116" spans="1:12" x14ac:dyDescent="0.3">
      <c r="A116" s="1">
        <v>37803</v>
      </c>
      <c r="D116">
        <v>2.3199999999999998</v>
      </c>
      <c r="E116">
        <v>3.07</v>
      </c>
      <c r="F116">
        <v>25.36</v>
      </c>
      <c r="G116" s="3">
        <v>15.43</v>
      </c>
      <c r="H116">
        <f t="shared" si="1"/>
        <v>8.602616304253651</v>
      </c>
      <c r="I116">
        <v>8.602616304253651</v>
      </c>
      <c r="J116" s="13">
        <v>145970.6</v>
      </c>
      <c r="K116">
        <v>5.4201582028285955</v>
      </c>
      <c r="L116">
        <v>1.9748731082342541</v>
      </c>
    </row>
    <row r="117" spans="1:12" x14ac:dyDescent="0.3">
      <c r="A117" s="1">
        <v>37834</v>
      </c>
      <c r="D117">
        <v>1.81</v>
      </c>
      <c r="E117">
        <v>2.74</v>
      </c>
      <c r="F117">
        <v>23.5</v>
      </c>
      <c r="G117" s="3">
        <v>15.07</v>
      </c>
      <c r="H117">
        <f t="shared" si="1"/>
        <v>7.3259754931780385</v>
      </c>
      <c r="I117">
        <v>7.3259754931780385</v>
      </c>
      <c r="J117" s="13">
        <v>144819.4</v>
      </c>
      <c r="K117">
        <v>-1.1311754211115854</v>
      </c>
      <c r="L117">
        <v>0.5648580054682828</v>
      </c>
    </row>
    <row r="118" spans="1:12" x14ac:dyDescent="0.3">
      <c r="A118" s="1">
        <v>37865</v>
      </c>
      <c r="D118">
        <v>2.75</v>
      </c>
      <c r="E118">
        <v>4.04</v>
      </c>
      <c r="F118">
        <v>21.02</v>
      </c>
      <c r="G118" s="3">
        <v>15.14</v>
      </c>
      <c r="H118">
        <f t="shared" si="1"/>
        <v>5.1068264721208845</v>
      </c>
      <c r="I118">
        <v>5.1068264721208845</v>
      </c>
      <c r="J118" s="13">
        <v>148559.79999999999</v>
      </c>
      <c r="K118">
        <v>1.7729714059923296</v>
      </c>
      <c r="L118">
        <v>1.4998602536045791</v>
      </c>
    </row>
    <row r="119" spans="1:12" x14ac:dyDescent="0.3">
      <c r="A119" s="1">
        <v>37895</v>
      </c>
      <c r="D119">
        <v>2.98</v>
      </c>
      <c r="E119">
        <v>4.33</v>
      </c>
      <c r="F119">
        <v>19.54</v>
      </c>
      <c r="G119" s="3">
        <v>13.98</v>
      </c>
      <c r="H119">
        <f t="shared" si="1"/>
        <v>4.8780487804878092</v>
      </c>
      <c r="I119">
        <v>4.8780487804878092</v>
      </c>
      <c r="J119" s="13">
        <v>154925.9</v>
      </c>
      <c r="K119">
        <v>3.9064353630955395</v>
      </c>
      <c r="L119">
        <v>5.033308410177928</v>
      </c>
    </row>
    <row r="120" spans="1:12" x14ac:dyDescent="0.3">
      <c r="A120" s="1">
        <v>37926</v>
      </c>
      <c r="D120">
        <v>1.43</v>
      </c>
      <c r="E120">
        <v>3</v>
      </c>
      <c r="F120">
        <v>18.309999999999999</v>
      </c>
      <c r="G120" s="3">
        <v>11.02</v>
      </c>
      <c r="H120">
        <f t="shared" si="1"/>
        <v>6.5663844352368939</v>
      </c>
      <c r="I120">
        <v>6.5663844352368939</v>
      </c>
      <c r="J120" s="13">
        <v>153644.4</v>
      </c>
      <c r="K120">
        <v>-1.17023604157378</v>
      </c>
      <c r="L120">
        <v>3.295831193699561</v>
      </c>
    </row>
    <row r="121" spans="1:12" ht="15" thickBot="1" x14ac:dyDescent="0.35">
      <c r="A121" s="1">
        <v>37956</v>
      </c>
      <c r="D121">
        <v>-5.05</v>
      </c>
      <c r="E121">
        <v>-5.07</v>
      </c>
      <c r="F121">
        <v>16.91</v>
      </c>
      <c r="G121" s="5">
        <v>9.3000000000000007</v>
      </c>
      <c r="H121">
        <f t="shared" si="1"/>
        <v>6.9624885635864553</v>
      </c>
      <c r="I121">
        <v>6.9624885635864553</v>
      </c>
      <c r="J121" s="13">
        <v>153801.4</v>
      </c>
      <c r="K121">
        <v>-0.41636869463985704</v>
      </c>
      <c r="L121">
        <v>1.9793403026908241</v>
      </c>
    </row>
    <row r="122" spans="1:12" ht="15" thickTop="1" x14ac:dyDescent="0.3">
      <c r="A122" s="1">
        <v>37987</v>
      </c>
      <c r="D122">
        <v>5.04</v>
      </c>
      <c r="E122">
        <v>7.18</v>
      </c>
      <c r="F122">
        <v>16.32</v>
      </c>
      <c r="G122" s="3">
        <v>7.71</v>
      </c>
      <c r="H122">
        <f t="shared" si="1"/>
        <v>7.9936867514622589</v>
      </c>
      <c r="I122">
        <v>7.9936867514622589</v>
      </c>
      <c r="J122" s="13">
        <v>144558.6</v>
      </c>
      <c r="K122">
        <v>-6.9546627780209036</v>
      </c>
      <c r="L122">
        <v>-5.9599241838007906</v>
      </c>
    </row>
    <row r="123" spans="1:12" x14ac:dyDescent="0.3">
      <c r="A123" s="1">
        <v>38018</v>
      </c>
      <c r="D123">
        <v>3.44</v>
      </c>
      <c r="E123">
        <v>4.93</v>
      </c>
      <c r="F123">
        <v>16.3</v>
      </c>
      <c r="G123" s="3">
        <v>6.69</v>
      </c>
      <c r="H123">
        <f t="shared" si="1"/>
        <v>9.0074046302371471</v>
      </c>
      <c r="I123">
        <v>9.0074046302371471</v>
      </c>
      <c r="J123" s="13">
        <v>142861.29999999999</v>
      </c>
      <c r="K123">
        <v>-1.7890776466323643</v>
      </c>
      <c r="L123">
        <v>-8.16433625029822</v>
      </c>
    </row>
    <row r="124" spans="1:12" x14ac:dyDescent="0.3">
      <c r="A124" s="1">
        <v>38047</v>
      </c>
      <c r="D124">
        <v>3.71</v>
      </c>
      <c r="E124">
        <v>4.3499999999999996</v>
      </c>
      <c r="F124">
        <v>16.190000000000001</v>
      </c>
      <c r="G124" s="3">
        <v>5.89</v>
      </c>
      <c r="H124">
        <f t="shared" si="1"/>
        <v>9.7270752667862901</v>
      </c>
      <c r="I124">
        <v>9.7270752667862901</v>
      </c>
      <c r="J124" s="13">
        <v>157363.5</v>
      </c>
      <c r="K124">
        <v>9.1996346676477714</v>
      </c>
      <c r="L124">
        <v>0.25774553344284357</v>
      </c>
    </row>
    <row r="125" spans="1:12" x14ac:dyDescent="0.3">
      <c r="A125" s="1">
        <v>38078</v>
      </c>
      <c r="D125">
        <v>4.76</v>
      </c>
      <c r="E125">
        <v>6.01</v>
      </c>
      <c r="F125">
        <v>15.96</v>
      </c>
      <c r="G125" s="4">
        <v>5.26</v>
      </c>
      <c r="H125">
        <f t="shared" si="1"/>
        <v>10.165304959148781</v>
      </c>
      <c r="I125">
        <v>10.165304959148781</v>
      </c>
      <c r="J125" s="13">
        <v>156953.9</v>
      </c>
      <c r="K125">
        <v>-0.62986772079813846</v>
      </c>
      <c r="L125">
        <v>-0.90021423305188808</v>
      </c>
    </row>
    <row r="126" spans="1:12" x14ac:dyDescent="0.3">
      <c r="A126" s="1">
        <v>38108</v>
      </c>
      <c r="D126">
        <v>2.95</v>
      </c>
      <c r="E126">
        <v>3.92</v>
      </c>
      <c r="F126">
        <v>15.77</v>
      </c>
      <c r="G126" s="4">
        <v>5.15</v>
      </c>
      <c r="H126">
        <f t="shared" si="1"/>
        <v>10.099857346647623</v>
      </c>
      <c r="I126">
        <v>10.099857346647623</v>
      </c>
      <c r="J126" s="13">
        <v>159498.9</v>
      </c>
      <c r="K126">
        <v>1.0999454841119416</v>
      </c>
      <c r="L126">
        <v>-0.27841309136190651</v>
      </c>
    </row>
    <row r="127" spans="1:12" x14ac:dyDescent="0.3">
      <c r="A127" s="1">
        <v>38139</v>
      </c>
      <c r="D127">
        <v>3.31</v>
      </c>
      <c r="E127">
        <v>4.47</v>
      </c>
      <c r="F127">
        <v>15.8</v>
      </c>
      <c r="G127" s="4">
        <v>6.06</v>
      </c>
      <c r="H127">
        <f t="shared" si="1"/>
        <v>9.183481048463138</v>
      </c>
      <c r="I127">
        <v>9.183481048463138</v>
      </c>
      <c r="J127" s="13">
        <v>165342.20000000001</v>
      </c>
      <c r="K127">
        <v>2.8907262583565796</v>
      </c>
      <c r="L127">
        <v>2.070580279117662</v>
      </c>
    </row>
    <row r="128" spans="1:12" x14ac:dyDescent="0.3">
      <c r="A128" s="1">
        <v>38169</v>
      </c>
      <c r="D128">
        <v>2.42</v>
      </c>
      <c r="E128">
        <v>3.27</v>
      </c>
      <c r="F128">
        <v>15.77</v>
      </c>
      <c r="G128" s="4">
        <v>6.81</v>
      </c>
      <c r="H128">
        <f t="shared" si="1"/>
        <v>8.3887276472240266</v>
      </c>
      <c r="I128">
        <v>8.3887276472240266</v>
      </c>
      <c r="J128" s="13">
        <v>171370.9</v>
      </c>
      <c r="K128">
        <v>2.6755809912895501</v>
      </c>
      <c r="L128">
        <v>4.9770806236316911</v>
      </c>
    </row>
    <row r="129" spans="1:12" x14ac:dyDescent="0.3">
      <c r="A129" s="1">
        <v>38200</v>
      </c>
      <c r="D129">
        <v>2.2599999999999998</v>
      </c>
      <c r="E129">
        <v>3.73</v>
      </c>
      <c r="F129">
        <v>15.86</v>
      </c>
      <c r="G129" s="4">
        <v>7.18</v>
      </c>
      <c r="H129">
        <f t="shared" si="1"/>
        <v>8.0985258443739383</v>
      </c>
      <c r="I129">
        <v>8.0985258443739383</v>
      </c>
      <c r="J129" s="13">
        <v>169178.9</v>
      </c>
      <c r="K129">
        <v>-1.9748358476798344</v>
      </c>
      <c r="L129">
        <v>2.7145097821908104</v>
      </c>
    </row>
    <row r="130" spans="1:12" x14ac:dyDescent="0.3">
      <c r="A130" s="1">
        <v>38231</v>
      </c>
      <c r="D130">
        <v>2.4300000000000002</v>
      </c>
      <c r="E130">
        <v>3.61</v>
      </c>
      <c r="F130">
        <v>16.09</v>
      </c>
      <c r="G130" s="4">
        <v>6.7</v>
      </c>
      <c r="H130">
        <f t="shared" si="1"/>
        <v>8.8003748828491268</v>
      </c>
      <c r="I130">
        <v>8.8003748828491268</v>
      </c>
      <c r="J130" s="13">
        <v>164702.5</v>
      </c>
      <c r="K130">
        <v>-3.011241439253709</v>
      </c>
      <c r="L130">
        <v>-1.2672176295367432</v>
      </c>
    </row>
    <row r="131" spans="1:12" x14ac:dyDescent="0.3">
      <c r="A131" s="1">
        <v>38261</v>
      </c>
      <c r="D131">
        <v>3.17</v>
      </c>
      <c r="E131">
        <v>4.0199999999999996</v>
      </c>
      <c r="F131">
        <v>16.41</v>
      </c>
      <c r="G131" s="4">
        <v>6.86</v>
      </c>
      <c r="H131">
        <f t="shared" ref="H131:H194" si="2">((1+F131/100)/(1+G131/100)-1)*100</f>
        <v>8.9369268201384919</v>
      </c>
      <c r="I131">
        <v>8.9369268201384919</v>
      </c>
      <c r="J131" s="13">
        <v>170536.5</v>
      </c>
      <c r="K131">
        <v>3.0417342282877513</v>
      </c>
      <c r="L131">
        <v>1.4923278910387472</v>
      </c>
    </row>
    <row r="132" spans="1:12" x14ac:dyDescent="0.3">
      <c r="A132" s="1">
        <v>38292</v>
      </c>
      <c r="D132">
        <v>1.41</v>
      </c>
      <c r="E132">
        <v>1.81</v>
      </c>
      <c r="F132">
        <v>16.96</v>
      </c>
      <c r="G132" s="4">
        <v>7.24</v>
      </c>
      <c r="H132">
        <f t="shared" si="2"/>
        <v>9.0637821708317681</v>
      </c>
      <c r="I132">
        <v>9.0637821708317681</v>
      </c>
      <c r="J132" s="13">
        <v>176921.5</v>
      </c>
      <c r="K132">
        <v>2.9880045583938752</v>
      </c>
      <c r="L132">
        <v>4.2498949032012678</v>
      </c>
    </row>
    <row r="133" spans="1:12" x14ac:dyDescent="0.3">
      <c r="A133" s="1">
        <v>38322</v>
      </c>
      <c r="D133">
        <v>-1.71</v>
      </c>
      <c r="E133">
        <v>-1.85</v>
      </c>
      <c r="F133">
        <v>17.5</v>
      </c>
      <c r="G133" s="4">
        <v>7.6</v>
      </c>
      <c r="H133">
        <f t="shared" si="2"/>
        <v>9.20074349442379</v>
      </c>
      <c r="I133">
        <v>9.20074349442379</v>
      </c>
      <c r="J133" s="13">
        <v>178462.4</v>
      </c>
      <c r="K133">
        <v>1.1059114662792524E-2</v>
      </c>
      <c r="L133">
        <v>3.8732634671843291</v>
      </c>
    </row>
    <row r="134" spans="1:12" x14ac:dyDescent="0.3">
      <c r="A134" s="1">
        <v>38353</v>
      </c>
      <c r="D134">
        <v>5.27</v>
      </c>
      <c r="E134">
        <v>7.91</v>
      </c>
      <c r="F134">
        <v>17.93</v>
      </c>
      <c r="G134" s="3">
        <v>7.41</v>
      </c>
      <c r="H134">
        <f t="shared" si="2"/>
        <v>9.7942463457778572</v>
      </c>
      <c r="I134">
        <v>9.7942463457778572</v>
      </c>
      <c r="J134" s="13">
        <v>163540.1</v>
      </c>
      <c r="K134">
        <v>-9.3101410936219153</v>
      </c>
      <c r="L134">
        <v>-5.6172648606610531</v>
      </c>
    </row>
    <row r="135" spans="1:12" x14ac:dyDescent="0.3">
      <c r="A135" s="1">
        <v>38384</v>
      </c>
      <c r="D135">
        <v>1.31</v>
      </c>
      <c r="E135">
        <v>3.05</v>
      </c>
      <c r="F135">
        <v>18.47</v>
      </c>
      <c r="G135" s="3">
        <v>7.39</v>
      </c>
      <c r="H135">
        <f t="shared" si="2"/>
        <v>10.317534221063385</v>
      </c>
      <c r="I135">
        <v>10.317534221063385</v>
      </c>
      <c r="J135" s="13">
        <v>160701.6</v>
      </c>
      <c r="K135">
        <v>-2.3393427149708046</v>
      </c>
      <c r="L135">
        <v>-7.9706779390040783</v>
      </c>
    </row>
    <row r="136" spans="1:12" x14ac:dyDescent="0.3">
      <c r="A136" s="1">
        <v>38412</v>
      </c>
      <c r="D136">
        <v>4.0599999999999996</v>
      </c>
      <c r="E136">
        <v>5.23</v>
      </c>
      <c r="F136">
        <v>18.97</v>
      </c>
      <c r="G136" s="3">
        <v>7.54</v>
      </c>
      <c r="H136">
        <f t="shared" si="2"/>
        <v>10.628603310396144</v>
      </c>
      <c r="I136">
        <v>10.628603310396144</v>
      </c>
      <c r="J136" s="13">
        <v>175468.7</v>
      </c>
      <c r="K136">
        <v>8.183207958957972</v>
      </c>
      <c r="L136">
        <v>-0.18955202555206441</v>
      </c>
    </row>
    <row r="137" spans="1:12" x14ac:dyDescent="0.3">
      <c r="A137" s="1">
        <v>38443</v>
      </c>
      <c r="D137">
        <v>8.0399999999999991</v>
      </c>
      <c r="E137">
        <v>9.7899999999999991</v>
      </c>
      <c r="F137">
        <v>19.32</v>
      </c>
      <c r="G137" s="4">
        <v>8.07</v>
      </c>
      <c r="H137">
        <f t="shared" si="2"/>
        <v>10.409919496622555</v>
      </c>
      <c r="I137">
        <v>10.409919496622555</v>
      </c>
      <c r="J137" s="13">
        <v>177179</v>
      </c>
      <c r="K137">
        <v>0.10392016629019452</v>
      </c>
      <c r="L137">
        <v>-0.64469774201917351</v>
      </c>
    </row>
    <row r="138" spans="1:12" x14ac:dyDescent="0.3">
      <c r="A138" s="1">
        <v>38473</v>
      </c>
      <c r="D138">
        <v>1.25</v>
      </c>
      <c r="E138">
        <v>3.15</v>
      </c>
      <c r="F138">
        <v>19.61</v>
      </c>
      <c r="G138" s="4">
        <v>8.0500000000000007</v>
      </c>
      <c r="H138">
        <f t="shared" si="2"/>
        <v>10.6987505784359</v>
      </c>
      <c r="I138">
        <v>10.6987505784359</v>
      </c>
      <c r="J138" s="13">
        <v>177496.7</v>
      </c>
      <c r="K138">
        <v>-0.30968453219433201</v>
      </c>
      <c r="L138">
        <v>-1.466093064019125</v>
      </c>
    </row>
    <row r="139" spans="1:12" x14ac:dyDescent="0.3">
      <c r="A139" s="1">
        <v>38504</v>
      </c>
      <c r="D139">
        <v>3.35</v>
      </c>
      <c r="E139">
        <v>4.25</v>
      </c>
      <c r="F139">
        <v>19.75</v>
      </c>
      <c r="G139" s="4">
        <v>7.27</v>
      </c>
      <c r="H139">
        <f t="shared" si="2"/>
        <v>11.63419408968025</v>
      </c>
      <c r="I139">
        <v>11.63419408968025</v>
      </c>
      <c r="J139" s="13">
        <v>180881.8</v>
      </c>
      <c r="K139">
        <v>1.9093787992382261</v>
      </c>
      <c r="L139">
        <v>2.1180664613851263E-2</v>
      </c>
    </row>
    <row r="140" spans="1:12" x14ac:dyDescent="0.3">
      <c r="A140" s="1">
        <v>38534</v>
      </c>
      <c r="D140">
        <v>3.1</v>
      </c>
      <c r="E140">
        <v>3.58</v>
      </c>
      <c r="F140">
        <v>19.72</v>
      </c>
      <c r="G140" s="4">
        <v>6.57</v>
      </c>
      <c r="H140">
        <f t="shared" si="2"/>
        <v>12.339307497419538</v>
      </c>
      <c r="I140">
        <v>12.339307497419538</v>
      </c>
      <c r="J140" s="13">
        <v>184073.7</v>
      </c>
      <c r="K140">
        <v>1.4994231243962375</v>
      </c>
      <c r="L140">
        <v>1.7070032676256286</v>
      </c>
    </row>
    <row r="141" spans="1:12" x14ac:dyDescent="0.3">
      <c r="A141" s="1">
        <v>38565</v>
      </c>
      <c r="D141">
        <v>2.5299999999999998</v>
      </c>
      <c r="E141">
        <v>3.79</v>
      </c>
      <c r="F141">
        <v>19.75</v>
      </c>
      <c r="G141" s="4">
        <v>6.02</v>
      </c>
      <c r="H141">
        <f t="shared" si="2"/>
        <v>12.950386719486895</v>
      </c>
      <c r="I141">
        <v>12.950386719486895</v>
      </c>
      <c r="J141" s="13">
        <v>187246.6</v>
      </c>
      <c r="K141">
        <v>1.5390672711689035</v>
      </c>
      <c r="L141">
        <v>3.0759982016042686</v>
      </c>
    </row>
    <row r="142" spans="1:12" x14ac:dyDescent="0.3">
      <c r="A142" s="1">
        <v>38596</v>
      </c>
      <c r="D142">
        <v>1.59</v>
      </c>
      <c r="E142">
        <v>2.69</v>
      </c>
      <c r="F142">
        <v>19.61</v>
      </c>
      <c r="G142" s="4">
        <v>6.04</v>
      </c>
      <c r="H142">
        <f t="shared" si="2"/>
        <v>12.79705771407016</v>
      </c>
      <c r="I142">
        <v>12.79705771407016</v>
      </c>
      <c r="J142" s="13">
        <v>181538.9</v>
      </c>
      <c r="K142">
        <v>-3.4451274310709934</v>
      </c>
      <c r="L142">
        <v>-1.2204203998076313</v>
      </c>
    </row>
    <row r="143" spans="1:12" x14ac:dyDescent="0.3">
      <c r="A143" s="1">
        <v>38626</v>
      </c>
      <c r="D143">
        <v>3.29</v>
      </c>
      <c r="E143">
        <v>4.38</v>
      </c>
      <c r="F143">
        <v>19.25</v>
      </c>
      <c r="G143" s="4">
        <v>6.36</v>
      </c>
      <c r="H143">
        <f t="shared" si="2"/>
        <v>12.119217751034196</v>
      </c>
      <c r="I143">
        <v>12.119217751034196</v>
      </c>
      <c r="J143" s="13">
        <v>189183</v>
      </c>
      <c r="K143">
        <v>3.3774193112822815</v>
      </c>
      <c r="L143">
        <v>2.1795803623735122</v>
      </c>
    </row>
    <row r="144" spans="1:12" x14ac:dyDescent="0.3">
      <c r="A144" s="1">
        <v>38657</v>
      </c>
      <c r="D144">
        <v>0.18</v>
      </c>
      <c r="E144">
        <v>1.35</v>
      </c>
      <c r="F144">
        <v>18.87</v>
      </c>
      <c r="G144" s="4">
        <v>6.22</v>
      </c>
      <c r="H144">
        <f t="shared" si="2"/>
        <v>11.909244963283761</v>
      </c>
      <c r="I144">
        <v>11.909244963283761</v>
      </c>
      <c r="J144" s="13">
        <v>194794.5</v>
      </c>
      <c r="K144">
        <v>2.3744909356828714</v>
      </c>
      <c r="L144">
        <v>4.116650091841545</v>
      </c>
    </row>
    <row r="145" spans="1:12" x14ac:dyDescent="0.3">
      <c r="A145" s="1">
        <v>38687</v>
      </c>
      <c r="D145">
        <v>-2.25</v>
      </c>
      <c r="E145">
        <v>-3.12</v>
      </c>
      <c r="F145">
        <v>18.239999999999998</v>
      </c>
      <c r="G145" s="4">
        <v>5.69</v>
      </c>
      <c r="H145">
        <f t="shared" si="2"/>
        <v>11.874349512725901</v>
      </c>
      <c r="I145">
        <v>11.874349512725901</v>
      </c>
      <c r="J145" s="13">
        <v>198480</v>
      </c>
      <c r="K145">
        <v>1.5151507209610671</v>
      </c>
      <c r="L145">
        <v>5.0930194471561219</v>
      </c>
    </row>
    <row r="146" spans="1:12" x14ac:dyDescent="0.3">
      <c r="A146" s="1">
        <v>38718</v>
      </c>
      <c r="D146">
        <v>1.83</v>
      </c>
      <c r="E146">
        <v>3.54</v>
      </c>
      <c r="F146">
        <v>17.649999999999999</v>
      </c>
      <c r="G146" s="3">
        <v>5.7</v>
      </c>
      <c r="H146">
        <f t="shared" si="2"/>
        <v>11.305581835383149</v>
      </c>
      <c r="I146">
        <v>11.305581835383149</v>
      </c>
      <c r="J146" s="13">
        <v>185564.79999999999</v>
      </c>
      <c r="K146">
        <v>-7.3167302344648633</v>
      </c>
      <c r="L146">
        <v>-3.0379138628823688</v>
      </c>
    </row>
    <row r="147" spans="1:12" x14ac:dyDescent="0.3">
      <c r="A147" s="1">
        <v>38749</v>
      </c>
      <c r="D147">
        <v>1.84</v>
      </c>
      <c r="E147">
        <v>2.56</v>
      </c>
      <c r="F147">
        <v>17.28</v>
      </c>
      <c r="G147" s="3">
        <v>5.51</v>
      </c>
      <c r="H147">
        <f t="shared" si="2"/>
        <v>11.155340725997554</v>
      </c>
      <c r="I147">
        <v>11.155340725997554</v>
      </c>
      <c r="J147" s="13">
        <v>178482.2</v>
      </c>
      <c r="K147">
        <v>-4.3008264859400569</v>
      </c>
      <c r="L147">
        <v>-7.7916975862484588</v>
      </c>
    </row>
    <row r="148" spans="1:12" x14ac:dyDescent="0.3">
      <c r="A148" s="1">
        <v>38777</v>
      </c>
      <c r="D148">
        <v>2.87</v>
      </c>
      <c r="E148">
        <v>4.08</v>
      </c>
      <c r="F148">
        <v>16.739999999999998</v>
      </c>
      <c r="G148" s="3">
        <v>5.32</v>
      </c>
      <c r="H148">
        <f t="shared" si="2"/>
        <v>10.843144701861007</v>
      </c>
      <c r="I148">
        <v>10.843144701861007</v>
      </c>
      <c r="J148" s="13">
        <v>190223.3</v>
      </c>
      <c r="K148">
        <v>5.9419580812370754</v>
      </c>
      <c r="L148">
        <v>-2.3850772904548179</v>
      </c>
    </row>
    <row r="149" spans="1:12" x14ac:dyDescent="0.3">
      <c r="A149" s="1">
        <v>38808</v>
      </c>
      <c r="D149">
        <v>8.66</v>
      </c>
      <c r="E149">
        <v>9.65</v>
      </c>
      <c r="F149">
        <v>16.190000000000001</v>
      </c>
      <c r="G149" s="3">
        <v>4.63</v>
      </c>
      <c r="H149">
        <f t="shared" si="2"/>
        <v>11.048456465640832</v>
      </c>
      <c r="I149">
        <v>11.048456465640832</v>
      </c>
      <c r="J149" s="13">
        <v>185030.6</v>
      </c>
      <c r="K149">
        <v>-2.9774899418333334</v>
      </c>
      <c r="L149">
        <v>-6.1811431107109849</v>
      </c>
    </row>
    <row r="150" spans="1:12" x14ac:dyDescent="0.3">
      <c r="A150" s="1">
        <v>38838</v>
      </c>
      <c r="D150">
        <v>1.59</v>
      </c>
      <c r="E150">
        <v>2.98</v>
      </c>
      <c r="F150">
        <v>15.7</v>
      </c>
      <c r="G150" s="4">
        <v>4.2300000000000004</v>
      </c>
      <c r="H150">
        <f t="shared" si="2"/>
        <v>11.004509258370909</v>
      </c>
      <c r="I150">
        <v>11.004509258370909</v>
      </c>
      <c r="J150" s="13">
        <v>197874.3</v>
      </c>
      <c r="K150">
        <v>6.6110189746151349</v>
      </c>
      <c r="L150">
        <v>-0.68057315216542014</v>
      </c>
    </row>
    <row r="151" spans="1:12" x14ac:dyDescent="0.3">
      <c r="A151" s="1">
        <v>38869</v>
      </c>
      <c r="C151" s="15">
        <v>10440</v>
      </c>
      <c r="D151">
        <v>3.57</v>
      </c>
      <c r="E151">
        <v>4.51</v>
      </c>
      <c r="F151">
        <v>15.18</v>
      </c>
      <c r="G151" s="4">
        <v>4.03</v>
      </c>
      <c r="H151">
        <f t="shared" si="2"/>
        <v>10.718062097471881</v>
      </c>
      <c r="I151">
        <v>10.718062097471881</v>
      </c>
      <c r="J151" s="13">
        <v>199071.9</v>
      </c>
      <c r="K151">
        <v>0.81372253562843611</v>
      </c>
      <c r="L151">
        <v>-0.61568878982680708</v>
      </c>
    </row>
    <row r="152" spans="1:12" x14ac:dyDescent="0.3">
      <c r="A152" s="1">
        <v>38899</v>
      </c>
      <c r="C152" s="15">
        <v>5620</v>
      </c>
      <c r="D152">
        <v>1.77</v>
      </c>
      <c r="E152">
        <v>2.61</v>
      </c>
      <c r="F152">
        <v>14.98</v>
      </c>
      <c r="G152" s="4">
        <v>3.97</v>
      </c>
      <c r="H152">
        <f t="shared" si="2"/>
        <v>10.589593151870712</v>
      </c>
      <c r="I152">
        <v>10.589593151870712</v>
      </c>
      <c r="J152" s="13">
        <v>206974.4</v>
      </c>
      <c r="K152">
        <v>3.7031370747484971</v>
      </c>
      <c r="L152">
        <v>2.9200185877052087</v>
      </c>
    </row>
    <row r="153" spans="1:12" x14ac:dyDescent="0.3">
      <c r="A153" s="1">
        <v>38930</v>
      </c>
      <c r="C153" s="15">
        <v>13200</v>
      </c>
      <c r="D153">
        <v>3.47</v>
      </c>
      <c r="E153">
        <v>5.03</v>
      </c>
      <c r="F153">
        <v>14.66</v>
      </c>
      <c r="G153" s="4">
        <v>3.84</v>
      </c>
      <c r="H153">
        <f t="shared" si="2"/>
        <v>10.419876733436073</v>
      </c>
      <c r="I153">
        <v>10.419876733436073</v>
      </c>
      <c r="J153" s="13">
        <v>209818</v>
      </c>
      <c r="K153">
        <v>1.3145359612558138</v>
      </c>
      <c r="L153">
        <v>3.8641615131973728</v>
      </c>
    </row>
    <row r="154" spans="1:12" x14ac:dyDescent="0.3">
      <c r="A154" s="1">
        <v>38961</v>
      </c>
      <c r="C154" s="15">
        <v>4570</v>
      </c>
      <c r="D154">
        <v>0.05</v>
      </c>
      <c r="E154">
        <v>1.26</v>
      </c>
      <c r="F154">
        <v>14.17</v>
      </c>
      <c r="G154" s="4">
        <v>3.7</v>
      </c>
      <c r="H154">
        <f t="shared" si="2"/>
        <v>10.096432015429135</v>
      </c>
      <c r="I154">
        <v>10.096432015429135</v>
      </c>
      <c r="J154" s="13">
        <v>201055.4</v>
      </c>
      <c r="K154">
        <v>-4.4758104906799545</v>
      </c>
      <c r="L154">
        <v>-1.8850776739069763</v>
      </c>
    </row>
    <row r="155" spans="1:12" x14ac:dyDescent="0.3">
      <c r="A155" s="1">
        <v>38991</v>
      </c>
      <c r="C155" s="15">
        <v>10500</v>
      </c>
      <c r="D155">
        <v>3.55</v>
      </c>
      <c r="E155">
        <v>4.91</v>
      </c>
      <c r="F155">
        <v>13.95</v>
      </c>
      <c r="G155" s="4">
        <v>3.26</v>
      </c>
      <c r="H155">
        <f t="shared" si="2"/>
        <v>10.352508231648262</v>
      </c>
      <c r="I155">
        <v>10.352508231648262</v>
      </c>
      <c r="J155" s="13">
        <v>214271.7</v>
      </c>
      <c r="K155">
        <v>6.0371228879269268</v>
      </c>
      <c r="L155">
        <v>3.5094023056311707</v>
      </c>
    </row>
    <row r="156" spans="1:12" x14ac:dyDescent="0.3">
      <c r="A156" s="1">
        <v>39022</v>
      </c>
      <c r="C156" s="15">
        <v>5610</v>
      </c>
      <c r="D156">
        <v>-0.05</v>
      </c>
      <c r="E156">
        <v>1.56</v>
      </c>
      <c r="F156">
        <v>13.65</v>
      </c>
      <c r="G156" s="4">
        <v>3.02</v>
      </c>
      <c r="H156">
        <f t="shared" si="2"/>
        <v>10.318384779654433</v>
      </c>
      <c r="I156">
        <v>10.318384779654433</v>
      </c>
      <c r="J156" s="13">
        <v>219724.2</v>
      </c>
      <c r="K156">
        <v>2.2034240047036135</v>
      </c>
      <c r="L156">
        <v>4.4749556893379783</v>
      </c>
    </row>
    <row r="157" spans="1:12" x14ac:dyDescent="0.3">
      <c r="A157" s="1">
        <v>39052</v>
      </c>
      <c r="B157">
        <v>55.48</v>
      </c>
      <c r="C157" s="15">
        <v>6450</v>
      </c>
      <c r="D157">
        <v>-2.66</v>
      </c>
      <c r="E157">
        <v>-3.94</v>
      </c>
      <c r="F157">
        <v>13.19</v>
      </c>
      <c r="G157" s="4">
        <v>3.14</v>
      </c>
      <c r="H157">
        <f t="shared" si="2"/>
        <v>9.7440372309482104</v>
      </c>
      <c r="I157">
        <v>9.7440372309482104</v>
      </c>
      <c r="J157" s="13">
        <v>221359.3</v>
      </c>
      <c r="K157">
        <v>0.26264078780524613</v>
      </c>
      <c r="L157">
        <v>3.8518615909175491</v>
      </c>
    </row>
    <row r="158" spans="1:12" x14ac:dyDescent="0.3">
      <c r="A158" s="1">
        <v>39083</v>
      </c>
      <c r="B158">
        <v>56.17</v>
      </c>
      <c r="C158" s="15">
        <v>13460</v>
      </c>
      <c r="D158">
        <v>5.74</v>
      </c>
      <c r="E158">
        <v>7.49</v>
      </c>
      <c r="F158">
        <v>13.13</v>
      </c>
      <c r="G158" s="4">
        <v>2.99</v>
      </c>
      <c r="H158">
        <f t="shared" si="2"/>
        <v>9.8456160792309788</v>
      </c>
      <c r="I158">
        <v>9.8456160792309788</v>
      </c>
      <c r="J158" s="13">
        <v>211130.7</v>
      </c>
      <c r="K158">
        <v>-5.17015876638105</v>
      </c>
      <c r="L158">
        <v>-2.3082437638353159</v>
      </c>
    </row>
    <row r="159" spans="1:12" x14ac:dyDescent="0.3">
      <c r="A159" s="1">
        <v>39114</v>
      </c>
      <c r="B159">
        <v>56.9</v>
      </c>
      <c r="C159" s="15">
        <v>6680</v>
      </c>
      <c r="D159">
        <v>1.33</v>
      </c>
      <c r="E159">
        <v>2.77</v>
      </c>
      <c r="F159">
        <v>12.93</v>
      </c>
      <c r="G159" s="4">
        <v>3.02</v>
      </c>
      <c r="H159">
        <f t="shared" si="2"/>
        <v>9.6194913609007884</v>
      </c>
      <c r="I159">
        <v>9.6194913609007884</v>
      </c>
      <c r="J159" s="13">
        <v>202704.1</v>
      </c>
      <c r="K159">
        <v>-4.5121629824871334</v>
      </c>
      <c r="L159">
        <v>-7.2405419201820536</v>
      </c>
    </row>
    <row r="160" spans="1:12" x14ac:dyDescent="0.3">
      <c r="A160" s="1">
        <v>39142</v>
      </c>
      <c r="B160">
        <v>57.24</v>
      </c>
      <c r="C160" s="15">
        <v>7140</v>
      </c>
      <c r="D160">
        <v>1.77</v>
      </c>
      <c r="E160">
        <v>3.05</v>
      </c>
      <c r="F160">
        <v>12.74</v>
      </c>
      <c r="G160" s="4">
        <v>2.96</v>
      </c>
      <c r="H160">
        <f t="shared" si="2"/>
        <v>9.4988344988344853</v>
      </c>
      <c r="I160">
        <v>9.4988344988344853</v>
      </c>
      <c r="J160" s="13">
        <v>217588.9</v>
      </c>
      <c r="K160">
        <v>6.7167444901508944</v>
      </c>
      <c r="L160">
        <v>-0.93365466247189444</v>
      </c>
    </row>
    <row r="161" spans="1:12" x14ac:dyDescent="0.3">
      <c r="A161" s="1">
        <v>39173</v>
      </c>
      <c r="B161">
        <v>57.17</v>
      </c>
      <c r="C161" s="15">
        <v>-23458</v>
      </c>
      <c r="D161">
        <v>6.85</v>
      </c>
      <c r="E161">
        <v>8.76</v>
      </c>
      <c r="F161">
        <v>12.58</v>
      </c>
      <c r="G161" s="4">
        <v>3</v>
      </c>
      <c r="H161">
        <f t="shared" si="2"/>
        <v>9.3009708737864081</v>
      </c>
      <c r="I161">
        <v>9.3009708737864081</v>
      </c>
      <c r="J161" s="13">
        <v>215128.8</v>
      </c>
      <c r="K161">
        <v>-1.3867577341052595</v>
      </c>
      <c r="L161">
        <v>-3.3569973868494141</v>
      </c>
    </row>
    <row r="162" spans="1:12" x14ac:dyDescent="0.3">
      <c r="A162" s="1">
        <v>39203</v>
      </c>
      <c r="B162">
        <v>57.91</v>
      </c>
      <c r="C162" s="15">
        <v>-9295</v>
      </c>
      <c r="D162">
        <v>2.37</v>
      </c>
      <c r="E162">
        <v>3.47</v>
      </c>
      <c r="F162">
        <v>12.43</v>
      </c>
      <c r="G162" s="4">
        <v>3.18</v>
      </c>
      <c r="H162">
        <f t="shared" si="2"/>
        <v>8.9649156813335971</v>
      </c>
      <c r="I162">
        <v>8.9649156813335971</v>
      </c>
      <c r="J162" s="13">
        <v>226537.9</v>
      </c>
      <c r="K162">
        <v>4.8880230751491283</v>
      </c>
      <c r="L162">
        <v>0.87001105246728994</v>
      </c>
    </row>
    <row r="163" spans="1:12" x14ac:dyDescent="0.3">
      <c r="A163" s="1">
        <v>39234</v>
      </c>
      <c r="B163">
        <v>58.23</v>
      </c>
      <c r="C163" s="15">
        <v>11650</v>
      </c>
      <c r="D163">
        <v>2.4700000000000002</v>
      </c>
      <c r="E163">
        <v>3.73</v>
      </c>
      <c r="F163">
        <v>12.03</v>
      </c>
      <c r="G163" s="4">
        <v>3.69</v>
      </c>
      <c r="H163">
        <f t="shared" si="2"/>
        <v>8.0432057093258855</v>
      </c>
      <c r="I163">
        <v>8.0432057093258855</v>
      </c>
      <c r="J163" s="13">
        <v>228988.6</v>
      </c>
      <c r="K163">
        <v>0.79651487118823638</v>
      </c>
      <c r="L163">
        <v>1.276431148820234</v>
      </c>
    </row>
    <row r="164" spans="1:12" x14ac:dyDescent="0.3">
      <c r="A164" s="1">
        <v>39264</v>
      </c>
      <c r="B164">
        <v>58.32</v>
      </c>
      <c r="C164" s="15">
        <v>7900</v>
      </c>
      <c r="D164">
        <v>2.1800000000000002</v>
      </c>
      <c r="E164">
        <v>2.72</v>
      </c>
      <c r="F164">
        <v>11.73</v>
      </c>
      <c r="G164" s="4">
        <v>3.74</v>
      </c>
      <c r="H164">
        <f t="shared" si="2"/>
        <v>7.701947175631374</v>
      </c>
      <c r="I164">
        <v>7.701947175631374</v>
      </c>
      <c r="J164" s="13">
        <v>233824.1</v>
      </c>
      <c r="K164">
        <v>1.8498474484273331</v>
      </c>
      <c r="L164">
        <v>3.004772492468577</v>
      </c>
    </row>
    <row r="165" spans="1:12" x14ac:dyDescent="0.3">
      <c r="A165" s="1">
        <v>39295</v>
      </c>
      <c r="B165">
        <v>58.46</v>
      </c>
      <c r="C165" s="15">
        <v>8090</v>
      </c>
      <c r="D165">
        <v>1.5</v>
      </c>
      <c r="E165">
        <v>3.05</v>
      </c>
      <c r="F165">
        <v>11.43</v>
      </c>
      <c r="G165" s="4">
        <v>4.18</v>
      </c>
      <c r="H165">
        <f t="shared" si="2"/>
        <v>6.9591092340180571</v>
      </c>
      <c r="I165">
        <v>6.9591092340180571</v>
      </c>
      <c r="J165" s="13">
        <v>235019.1</v>
      </c>
      <c r="K165">
        <v>4.0726600893847831E-2</v>
      </c>
      <c r="L165">
        <v>2.6811394268459354</v>
      </c>
    </row>
    <row r="166" spans="1:12" x14ac:dyDescent="0.3">
      <c r="A166" s="1">
        <v>39326</v>
      </c>
      <c r="B166">
        <v>57.88</v>
      </c>
      <c r="C166" s="15">
        <v>3550</v>
      </c>
      <c r="D166">
        <v>0.4</v>
      </c>
      <c r="E166">
        <v>1.18</v>
      </c>
      <c r="F166">
        <v>11.22</v>
      </c>
      <c r="G166" s="4">
        <v>4.1500000000000004</v>
      </c>
      <c r="H166">
        <f t="shared" si="2"/>
        <v>6.7882861257801297</v>
      </c>
      <c r="I166">
        <v>6.7882861257801297</v>
      </c>
      <c r="J166" s="13">
        <v>223002.7</v>
      </c>
      <c r="K166">
        <v>-5.4281637166496921</v>
      </c>
      <c r="L166">
        <v>-3.6558895261211366</v>
      </c>
    </row>
    <row r="167" spans="1:12" x14ac:dyDescent="0.3">
      <c r="A167" s="1">
        <v>39356</v>
      </c>
      <c r="B167">
        <v>57.49</v>
      </c>
      <c r="C167" s="15">
        <v>15350</v>
      </c>
      <c r="D167">
        <v>4.0999999999999996</v>
      </c>
      <c r="E167">
        <v>5.03</v>
      </c>
      <c r="F167">
        <v>11.18</v>
      </c>
      <c r="G167" s="4">
        <v>4.12</v>
      </c>
      <c r="H167">
        <f t="shared" si="2"/>
        <v>6.7806377257011219</v>
      </c>
      <c r="I167">
        <v>6.7806377257011219</v>
      </c>
      <c r="J167" s="13">
        <v>241939.4</v>
      </c>
      <c r="K167">
        <v>7.8507756613374724</v>
      </c>
      <c r="L167">
        <v>3.5590515549637214</v>
      </c>
    </row>
    <row r="168" spans="1:12" x14ac:dyDescent="0.3">
      <c r="A168" s="1">
        <v>39387</v>
      </c>
      <c r="B168">
        <v>57.26</v>
      </c>
      <c r="C168" s="15">
        <v>6820</v>
      </c>
      <c r="D168">
        <v>1.98</v>
      </c>
      <c r="E168">
        <v>2.86</v>
      </c>
      <c r="F168">
        <v>11.18</v>
      </c>
      <c r="G168" s="4">
        <v>4.1900000000000004</v>
      </c>
      <c r="H168">
        <f t="shared" si="2"/>
        <v>6.7088972070256103</v>
      </c>
      <c r="I168">
        <v>6.7088972070256103</v>
      </c>
      <c r="J168" s="13">
        <v>241938.4</v>
      </c>
      <c r="K168">
        <v>-0.37951236932070032</v>
      </c>
      <c r="L168">
        <v>2.2870152728421633</v>
      </c>
    </row>
    <row r="169" spans="1:12" x14ac:dyDescent="0.3">
      <c r="A169" s="1">
        <v>39417</v>
      </c>
      <c r="B169">
        <v>56.72</v>
      </c>
      <c r="C169" s="15">
        <v>-11780</v>
      </c>
      <c r="D169">
        <v>-3.65</v>
      </c>
      <c r="E169">
        <v>-4.49</v>
      </c>
      <c r="F169">
        <v>11.18</v>
      </c>
      <c r="G169" s="4">
        <v>4.46</v>
      </c>
      <c r="H169">
        <f t="shared" si="2"/>
        <v>6.4330844342331828</v>
      </c>
      <c r="I169">
        <v>6.4330844342331828</v>
      </c>
      <c r="J169" s="13">
        <v>242460.2</v>
      </c>
      <c r="K169">
        <v>-0.52199877908876147</v>
      </c>
      <c r="L169">
        <v>0.97287746163277067</v>
      </c>
    </row>
    <row r="170" spans="1:12" x14ac:dyDescent="0.3">
      <c r="A170" s="1">
        <v>39448</v>
      </c>
      <c r="B170">
        <v>57.51</v>
      </c>
      <c r="C170" s="15">
        <v>18660</v>
      </c>
      <c r="D170">
        <v>7.2</v>
      </c>
      <c r="E170">
        <v>8.81</v>
      </c>
      <c r="F170">
        <v>11.18</v>
      </c>
      <c r="G170" s="4">
        <v>4.5599999999999996</v>
      </c>
      <c r="H170">
        <f t="shared" si="2"/>
        <v>6.3312930374904264</v>
      </c>
      <c r="I170">
        <v>6.3312930374904264</v>
      </c>
      <c r="J170" s="13">
        <v>237247.7</v>
      </c>
      <c r="K170">
        <v>-2.7118030085416578</v>
      </c>
      <c r="L170">
        <v>-2.7434552299776427</v>
      </c>
    </row>
    <row r="171" spans="1:12" x14ac:dyDescent="0.3">
      <c r="A171" s="1">
        <v>39479</v>
      </c>
      <c r="B171">
        <v>57.04</v>
      </c>
      <c r="C171" s="15">
        <v>8900</v>
      </c>
      <c r="D171">
        <v>1.76</v>
      </c>
      <c r="E171">
        <v>3.36</v>
      </c>
      <c r="F171">
        <v>11.18</v>
      </c>
      <c r="G171" s="4">
        <v>4.6100000000000003</v>
      </c>
      <c r="H171">
        <f t="shared" si="2"/>
        <v>6.2804703183251931</v>
      </c>
      <c r="I171">
        <v>6.2804703183251931</v>
      </c>
      <c r="J171" s="13">
        <v>232680.4</v>
      </c>
      <c r="K171">
        <v>-2.4327948805691335</v>
      </c>
      <c r="L171">
        <v>-5.648594349857583</v>
      </c>
    </row>
    <row r="172" spans="1:12" x14ac:dyDescent="0.3">
      <c r="A172" s="1">
        <v>39508</v>
      </c>
      <c r="B172">
        <v>57.09</v>
      </c>
      <c r="C172" s="15">
        <v>15400</v>
      </c>
      <c r="D172">
        <v>4.4800000000000004</v>
      </c>
      <c r="E172">
        <v>5.34</v>
      </c>
      <c r="F172">
        <v>11.18</v>
      </c>
      <c r="G172" s="4">
        <v>4.7300000000000004</v>
      </c>
      <c r="H172">
        <f t="shared" si="2"/>
        <v>6.1586937840160338</v>
      </c>
      <c r="I172">
        <v>6.1586937840160338</v>
      </c>
      <c r="J172" s="13">
        <v>242124.4</v>
      </c>
      <c r="K172">
        <v>3.4996273315272219</v>
      </c>
      <c r="L172">
        <v>-2.7304127379391807</v>
      </c>
    </row>
    <row r="173" spans="1:12" x14ac:dyDescent="0.3">
      <c r="A173" s="1">
        <v>39539</v>
      </c>
      <c r="B173">
        <v>56.52</v>
      </c>
      <c r="C173" s="15">
        <v>18700</v>
      </c>
      <c r="D173">
        <v>6.67</v>
      </c>
      <c r="E173">
        <v>7.82</v>
      </c>
      <c r="F173">
        <v>11.37</v>
      </c>
      <c r="G173" s="4">
        <v>5.04</v>
      </c>
      <c r="H173">
        <f t="shared" si="2"/>
        <v>6.0262757044935222</v>
      </c>
      <c r="I173">
        <v>6.0262757044935222</v>
      </c>
      <c r="J173" s="13">
        <v>248793.8</v>
      </c>
      <c r="K173">
        <v>2.1688562801289279</v>
      </c>
      <c r="L173">
        <v>-1.8418698112232956</v>
      </c>
    </row>
    <row r="174" spans="1:12" x14ac:dyDescent="0.3">
      <c r="A174" s="1">
        <v>39569</v>
      </c>
      <c r="B174">
        <v>55.82</v>
      </c>
      <c r="C174" s="15">
        <v>13210</v>
      </c>
      <c r="D174">
        <v>1.93</v>
      </c>
      <c r="E174">
        <v>3.33</v>
      </c>
      <c r="F174">
        <v>11.63</v>
      </c>
      <c r="G174" s="4">
        <v>5.58</v>
      </c>
      <c r="H174">
        <f t="shared" si="2"/>
        <v>5.7302519416556175</v>
      </c>
      <c r="I174">
        <v>5.7302519416556175</v>
      </c>
      <c r="J174" s="13">
        <v>254936.9</v>
      </c>
      <c r="K174">
        <v>1.6521883910534996</v>
      </c>
      <c r="L174">
        <v>-0.56614558439620488</v>
      </c>
    </row>
    <row r="175" spans="1:12" x14ac:dyDescent="0.3">
      <c r="A175" s="1">
        <v>39600</v>
      </c>
      <c r="B175">
        <v>55.6</v>
      </c>
      <c r="C175" s="15">
        <v>11160</v>
      </c>
      <c r="D175">
        <v>2.72</v>
      </c>
      <c r="E175">
        <v>3.98</v>
      </c>
      <c r="F175">
        <v>12.09</v>
      </c>
      <c r="G175" s="4">
        <v>6.06</v>
      </c>
      <c r="H175">
        <f t="shared" si="2"/>
        <v>5.6854610597774968</v>
      </c>
      <c r="I175">
        <v>5.6854610597774968</v>
      </c>
      <c r="J175" s="13">
        <v>265791.2</v>
      </c>
      <c r="K175">
        <v>3.4321041928679463</v>
      </c>
      <c r="L175">
        <v>2.7174808784851123</v>
      </c>
    </row>
    <row r="176" spans="1:12" x14ac:dyDescent="0.3">
      <c r="A176" s="1">
        <v>39630</v>
      </c>
      <c r="B176">
        <v>55.53</v>
      </c>
      <c r="C176" s="15">
        <v>12100</v>
      </c>
      <c r="D176">
        <v>2.89</v>
      </c>
      <c r="E176">
        <v>3.97</v>
      </c>
      <c r="F176">
        <v>12.36</v>
      </c>
      <c r="G176" s="4">
        <v>6.37</v>
      </c>
      <c r="H176">
        <f t="shared" si="2"/>
        <v>5.6312870170160512</v>
      </c>
      <c r="I176">
        <v>5.6312870170160512</v>
      </c>
      <c r="J176" s="13">
        <v>278095.59999999998</v>
      </c>
      <c r="K176">
        <v>3.9969705658460697</v>
      </c>
      <c r="L176">
        <v>7.156594861839416</v>
      </c>
    </row>
    <row r="177" spans="1:12" x14ac:dyDescent="0.3">
      <c r="A177" s="1">
        <v>39661</v>
      </c>
      <c r="B177">
        <v>54.95</v>
      </c>
      <c r="C177" s="15">
        <v>10200</v>
      </c>
      <c r="D177">
        <v>2.72</v>
      </c>
      <c r="E177">
        <v>3.64</v>
      </c>
      <c r="F177">
        <v>12.92</v>
      </c>
      <c r="G177" s="4">
        <v>6.17</v>
      </c>
      <c r="H177">
        <f t="shared" si="2"/>
        <v>6.3577281717999368</v>
      </c>
      <c r="I177">
        <v>6.3577281717999368</v>
      </c>
      <c r="J177" s="13">
        <v>269235.59999999998</v>
      </c>
      <c r="K177">
        <v>-3.5174457535598336</v>
      </c>
      <c r="L177">
        <v>3.7061222067273913</v>
      </c>
    </row>
    <row r="178" spans="1:12" x14ac:dyDescent="0.3">
      <c r="A178" s="1">
        <v>39692</v>
      </c>
      <c r="B178">
        <v>54.83</v>
      </c>
      <c r="C178" s="15">
        <v>10005</v>
      </c>
      <c r="D178">
        <v>1.95</v>
      </c>
      <c r="E178">
        <v>2.52</v>
      </c>
      <c r="F178">
        <v>13.39</v>
      </c>
      <c r="G178" s="4">
        <v>6.25</v>
      </c>
      <c r="H178">
        <f t="shared" si="2"/>
        <v>6.7200000000000149</v>
      </c>
      <c r="I178">
        <v>6.7200000000000149</v>
      </c>
      <c r="J178" s="13">
        <v>265271.2</v>
      </c>
      <c r="K178">
        <v>-1.7430501757527139</v>
      </c>
      <c r="L178">
        <v>1.4665791928769378</v>
      </c>
    </row>
    <row r="179" spans="1:12" x14ac:dyDescent="0.3">
      <c r="A179" s="1">
        <v>39722</v>
      </c>
      <c r="B179">
        <v>55.05</v>
      </c>
      <c r="C179" s="15">
        <v>14472</v>
      </c>
      <c r="D179">
        <v>5.0599999999999996</v>
      </c>
      <c r="E179">
        <v>6.27</v>
      </c>
      <c r="F179">
        <v>13.66</v>
      </c>
      <c r="G179" s="4">
        <v>6.41</v>
      </c>
      <c r="H179">
        <f t="shared" si="2"/>
        <v>6.8132694295648832</v>
      </c>
      <c r="I179">
        <v>6.8132694295648832</v>
      </c>
      <c r="J179" s="13">
        <v>280522.5</v>
      </c>
      <c r="K179">
        <v>5.1410279093840217</v>
      </c>
      <c r="L179">
        <v>6.7389380017455425</v>
      </c>
    </row>
    <row r="180" spans="1:12" x14ac:dyDescent="0.3">
      <c r="A180" s="1">
        <v>39753</v>
      </c>
      <c r="B180">
        <v>54.64</v>
      </c>
      <c r="C180" s="15">
        <v>1944</v>
      </c>
      <c r="D180">
        <v>-1.19</v>
      </c>
      <c r="E180">
        <v>-0.36</v>
      </c>
      <c r="F180">
        <v>13.64</v>
      </c>
      <c r="G180" s="4">
        <v>6.39</v>
      </c>
      <c r="H180">
        <f t="shared" si="2"/>
        <v>6.8145502396841806</v>
      </c>
      <c r="I180">
        <v>6.8145502396841806</v>
      </c>
      <c r="J180" s="13">
        <v>270698.8</v>
      </c>
      <c r="K180">
        <v>-3.9241418820498808</v>
      </c>
      <c r="L180">
        <v>2.4993801210853261</v>
      </c>
    </row>
    <row r="181" spans="1:12" ht="15" thickBot="1" x14ac:dyDescent="0.35">
      <c r="A181" s="1">
        <v>39783</v>
      </c>
      <c r="B181">
        <v>55.98</v>
      </c>
      <c r="C181" s="15">
        <v>-16793</v>
      </c>
      <c r="D181">
        <v>-8</v>
      </c>
      <c r="E181">
        <v>-8.1</v>
      </c>
      <c r="F181">
        <v>13.66</v>
      </c>
      <c r="G181" s="8">
        <v>5.9</v>
      </c>
      <c r="H181">
        <f t="shared" si="2"/>
        <v>7.3276676109537364</v>
      </c>
      <c r="I181">
        <v>7.3276676109537364</v>
      </c>
      <c r="J181" s="13">
        <v>264404.8</v>
      </c>
      <c r="K181">
        <v>-2.6322493132244773</v>
      </c>
      <c r="L181">
        <v>-0.34818462106041004</v>
      </c>
    </row>
    <row r="182" spans="1:12" ht="15" thickTop="1" x14ac:dyDescent="0.3">
      <c r="A182" s="1">
        <v>39814</v>
      </c>
      <c r="B182">
        <v>56.87</v>
      </c>
      <c r="C182" s="15">
        <v>5188</v>
      </c>
      <c r="D182">
        <v>1.97</v>
      </c>
      <c r="E182">
        <v>2.95</v>
      </c>
      <c r="F182">
        <v>13.32</v>
      </c>
      <c r="G182" s="4">
        <v>5.84</v>
      </c>
      <c r="H182">
        <f t="shared" si="2"/>
        <v>7.0672713529856379</v>
      </c>
      <c r="I182">
        <v>7.0672713529856379</v>
      </c>
      <c r="J182" s="13">
        <v>249934.4</v>
      </c>
      <c r="K182">
        <v>-6.1069324836303451</v>
      </c>
      <c r="L182">
        <v>-6.4159614071130688</v>
      </c>
    </row>
    <row r="183" spans="1:12" x14ac:dyDescent="0.3">
      <c r="A183" s="1">
        <v>39845</v>
      </c>
      <c r="B183">
        <v>57.18</v>
      </c>
      <c r="C183" s="15">
        <v>4107</v>
      </c>
      <c r="D183">
        <v>0.36</v>
      </c>
      <c r="E183">
        <v>1.4</v>
      </c>
      <c r="F183">
        <v>12.66</v>
      </c>
      <c r="G183" s="4">
        <v>5.9</v>
      </c>
      <c r="H183">
        <f t="shared" si="2"/>
        <v>6.3833805476865013</v>
      </c>
      <c r="I183">
        <v>6.3833805476865013</v>
      </c>
      <c r="J183" s="13">
        <v>244024.5</v>
      </c>
      <c r="K183">
        <v>-2.9415786059278304</v>
      </c>
      <c r="L183">
        <v>-8.9546097823119624</v>
      </c>
    </row>
    <row r="184" spans="1:12" x14ac:dyDescent="0.3">
      <c r="A184" s="1">
        <v>39873</v>
      </c>
      <c r="B184">
        <v>57.47</v>
      </c>
      <c r="C184" s="15">
        <v>11614</v>
      </c>
      <c r="D184">
        <v>2.21</v>
      </c>
      <c r="E184">
        <v>3.03</v>
      </c>
      <c r="F184">
        <v>11.7</v>
      </c>
      <c r="G184" s="4">
        <v>5.61</v>
      </c>
      <c r="H184">
        <f t="shared" si="2"/>
        <v>5.7664993845279788</v>
      </c>
      <c r="I184">
        <v>5.7664993845279788</v>
      </c>
      <c r="J184" s="13">
        <v>262181.7</v>
      </c>
      <c r="K184">
        <v>6.9773006481744559</v>
      </c>
      <c r="L184">
        <v>-2.4163254101114973</v>
      </c>
    </row>
    <row r="185" spans="1:12" x14ac:dyDescent="0.3">
      <c r="A185" s="1">
        <v>39904</v>
      </c>
      <c r="B185">
        <v>56.8</v>
      </c>
      <c r="C185" s="15">
        <v>12494</v>
      </c>
      <c r="D185">
        <v>4.1500000000000004</v>
      </c>
      <c r="E185">
        <v>4.51</v>
      </c>
      <c r="F185">
        <v>11.11</v>
      </c>
      <c r="G185" s="4">
        <v>5.53</v>
      </c>
      <c r="H185">
        <f t="shared" si="2"/>
        <v>5.2875959442812537</v>
      </c>
      <c r="I185">
        <v>5.2875959442812537</v>
      </c>
      <c r="J185" s="13">
        <v>259563.5</v>
      </c>
      <c r="K185">
        <v>-1.4825890834616828</v>
      </c>
      <c r="L185">
        <v>-4.5030220165721229</v>
      </c>
    </row>
    <row r="186" spans="1:12" x14ac:dyDescent="0.3">
      <c r="A186" s="1">
        <v>39934</v>
      </c>
      <c r="B186">
        <v>57.07</v>
      </c>
      <c r="C186" s="15">
        <v>1119</v>
      </c>
      <c r="D186">
        <v>-0.1</v>
      </c>
      <c r="E186">
        <v>0.79</v>
      </c>
      <c r="F186">
        <v>10.16</v>
      </c>
      <c r="G186" s="4">
        <v>5.2</v>
      </c>
      <c r="H186">
        <f t="shared" si="2"/>
        <v>4.7148288973383856</v>
      </c>
      <c r="I186">
        <v>4.7148288973383856</v>
      </c>
      <c r="J186" s="13">
        <v>268324</v>
      </c>
      <c r="K186">
        <v>2.8504964135983357</v>
      </c>
      <c r="L186">
        <v>-2.0575162278335113</v>
      </c>
    </row>
    <row r="187" spans="1:12" x14ac:dyDescent="0.3">
      <c r="A187" s="1">
        <v>39965</v>
      </c>
      <c r="B187">
        <v>58.34</v>
      </c>
      <c r="C187" s="15">
        <v>3376</v>
      </c>
      <c r="D187">
        <v>-0.41</v>
      </c>
      <c r="E187">
        <v>1.24</v>
      </c>
      <c r="F187">
        <v>9.5399999999999991</v>
      </c>
      <c r="G187" s="4">
        <v>4.8</v>
      </c>
      <c r="H187">
        <f t="shared" si="2"/>
        <v>4.5229007633587726</v>
      </c>
      <c r="I187">
        <v>4.5229007633587726</v>
      </c>
      <c r="J187" s="13">
        <v>275701.2</v>
      </c>
      <c r="K187">
        <v>2.3530026897644163</v>
      </c>
      <c r="L187">
        <v>-0.55617929216443818</v>
      </c>
    </row>
    <row r="188" spans="1:12" x14ac:dyDescent="0.3">
      <c r="A188" s="1">
        <v>39995</v>
      </c>
      <c r="B188">
        <v>59.68</v>
      </c>
      <c r="C188" s="15">
        <v>3180</v>
      </c>
      <c r="D188">
        <v>0.62</v>
      </c>
      <c r="E188">
        <v>0.86</v>
      </c>
      <c r="F188">
        <v>9.01</v>
      </c>
      <c r="G188" s="4">
        <v>4.5</v>
      </c>
      <c r="H188">
        <f t="shared" si="2"/>
        <v>4.3157894736842284</v>
      </c>
      <c r="I188">
        <v>4.3157894736842284</v>
      </c>
      <c r="J188" s="13">
        <v>285444.2</v>
      </c>
      <c r="K188">
        <v>3.2332117903274948</v>
      </c>
      <c r="L188">
        <v>2.4038128514045187</v>
      </c>
    </row>
    <row r="189" spans="1:12" x14ac:dyDescent="0.3">
      <c r="A189" s="1">
        <v>40026</v>
      </c>
      <c r="B189">
        <v>60.77</v>
      </c>
      <c r="C189" s="15">
        <v>5042</v>
      </c>
      <c r="D189">
        <v>1.4</v>
      </c>
      <c r="E189">
        <v>1.94</v>
      </c>
      <c r="F189">
        <v>8.65</v>
      </c>
      <c r="G189" s="4">
        <v>4.3600000000000003</v>
      </c>
      <c r="H189">
        <f t="shared" si="2"/>
        <v>4.1107704101188025</v>
      </c>
      <c r="I189">
        <v>4.1107704101188025</v>
      </c>
      <c r="J189" s="13">
        <v>284240.40000000002</v>
      </c>
      <c r="K189">
        <v>-0.57246340530312523</v>
      </c>
      <c r="L189">
        <v>1.2153575858575794</v>
      </c>
    </row>
    <row r="190" spans="1:12" x14ac:dyDescent="0.3">
      <c r="A190" s="1">
        <v>40057</v>
      </c>
      <c r="B190">
        <v>60.8</v>
      </c>
      <c r="C190" s="15">
        <v>-5763</v>
      </c>
      <c r="D190">
        <v>-2.75</v>
      </c>
      <c r="E190">
        <v>-1.88</v>
      </c>
      <c r="F190">
        <v>8.65</v>
      </c>
      <c r="G190" s="4">
        <v>4.34</v>
      </c>
      <c r="H190">
        <f t="shared" si="2"/>
        <v>4.130726471152002</v>
      </c>
      <c r="I190">
        <v>4.130726471152002</v>
      </c>
      <c r="J190" s="13">
        <v>283157.90000000002</v>
      </c>
      <c r="K190">
        <v>-0.62131821773103724</v>
      </c>
      <c r="L190">
        <v>-0.8433943094610874</v>
      </c>
    </row>
    <row r="191" spans="1:12" x14ac:dyDescent="0.3">
      <c r="A191" s="1">
        <v>40087</v>
      </c>
      <c r="B191">
        <v>61</v>
      </c>
      <c r="C191" s="15">
        <v>13818</v>
      </c>
      <c r="D191">
        <v>3.7</v>
      </c>
      <c r="E191">
        <v>4.45</v>
      </c>
      <c r="F191">
        <v>8.65</v>
      </c>
      <c r="G191" s="4">
        <v>4.17</v>
      </c>
      <c r="H191">
        <f t="shared" si="2"/>
        <v>4.3006623788038656</v>
      </c>
      <c r="I191">
        <v>4.3006623788038656</v>
      </c>
      <c r="J191" s="13">
        <v>301895.90000000002</v>
      </c>
      <c r="K191">
        <v>6.1281584295537428</v>
      </c>
      <c r="L191">
        <v>4.6140186762823943</v>
      </c>
    </row>
    <row r="192" spans="1:12" x14ac:dyDescent="0.3">
      <c r="A192" s="1">
        <v>40118</v>
      </c>
      <c r="B192">
        <v>60.22</v>
      </c>
      <c r="C192" s="15">
        <v>12711</v>
      </c>
      <c r="D192">
        <v>3.51</v>
      </c>
      <c r="E192">
        <v>3.99</v>
      </c>
      <c r="F192">
        <v>8.65</v>
      </c>
      <c r="G192" s="4">
        <v>4.22</v>
      </c>
      <c r="H192">
        <f t="shared" si="2"/>
        <v>4.2506236806755027</v>
      </c>
      <c r="I192">
        <v>4.2506236806755027</v>
      </c>
      <c r="J192" s="13">
        <v>305048.8</v>
      </c>
      <c r="K192">
        <v>0.62966190142823564</v>
      </c>
      <c r="L192">
        <v>4.1631481779437429</v>
      </c>
    </row>
    <row r="193" spans="1:12" x14ac:dyDescent="0.3">
      <c r="A193" s="1">
        <v>40148</v>
      </c>
      <c r="B193">
        <v>59.21</v>
      </c>
      <c r="C193">
        <v>0.27600000000000002</v>
      </c>
      <c r="D193">
        <v>0.63</v>
      </c>
      <c r="E193">
        <v>0.05</v>
      </c>
      <c r="F193">
        <v>8.65</v>
      </c>
      <c r="G193" s="4">
        <v>4.3099999999999996</v>
      </c>
      <c r="H193">
        <f t="shared" si="2"/>
        <v>4.1606749113220376</v>
      </c>
      <c r="I193">
        <v>4.1606749113220376</v>
      </c>
      <c r="J193" s="13">
        <v>313522.8</v>
      </c>
      <c r="K193">
        <v>2.370845440027658</v>
      </c>
      <c r="L193">
        <v>5.6245868909247099</v>
      </c>
    </row>
    <row r="194" spans="1:12" x14ac:dyDescent="0.3">
      <c r="A194" s="1">
        <v>40179</v>
      </c>
      <c r="B194">
        <v>59.76</v>
      </c>
      <c r="C194" s="15">
        <v>16185</v>
      </c>
      <c r="D194">
        <v>4.76</v>
      </c>
      <c r="E194">
        <v>5.66</v>
      </c>
      <c r="F194">
        <v>8.65</v>
      </c>
      <c r="G194" s="4">
        <v>4.59</v>
      </c>
      <c r="H194">
        <f t="shared" si="2"/>
        <v>3.8818242661822433</v>
      </c>
      <c r="I194">
        <v>3.8818242661822433</v>
      </c>
      <c r="J194" s="13">
        <v>288972.79999999999</v>
      </c>
      <c r="K194">
        <v>-8.9010900326211839</v>
      </c>
      <c r="L194">
        <v>-4.4131037297629572</v>
      </c>
    </row>
    <row r="195" spans="1:12" x14ac:dyDescent="0.3">
      <c r="A195" s="1">
        <v>40210</v>
      </c>
      <c r="B195">
        <v>59.03</v>
      </c>
      <c r="C195">
        <v>0.85899999999999999</v>
      </c>
      <c r="D195">
        <v>-0.26</v>
      </c>
      <c r="E195">
        <v>1.1200000000000001</v>
      </c>
      <c r="F195">
        <v>8.65</v>
      </c>
      <c r="G195" s="4">
        <v>4.83</v>
      </c>
      <c r="H195">
        <f t="shared" ref="H195:H258" si="3">((1+F195/100)/(1+G195/100)-1)*100</f>
        <v>3.6439950395878995</v>
      </c>
      <c r="I195">
        <v>3.6439950395878995</v>
      </c>
      <c r="J195" s="13">
        <v>285723.2</v>
      </c>
      <c r="K195">
        <v>-1.9077580479626377</v>
      </c>
      <c r="L195">
        <v>-7.0403384872047674</v>
      </c>
    </row>
    <row r="196" spans="1:12" x14ac:dyDescent="0.3">
      <c r="A196" s="1">
        <v>40238</v>
      </c>
      <c r="B196">
        <v>56.24</v>
      </c>
      <c r="C196">
        <v>-0.216</v>
      </c>
      <c r="D196">
        <v>-1.19</v>
      </c>
      <c r="E196">
        <v>-0.05</v>
      </c>
      <c r="F196">
        <v>8.65</v>
      </c>
      <c r="G196" s="4">
        <v>5.17</v>
      </c>
      <c r="H196">
        <f t="shared" si="3"/>
        <v>3.3089284016354359</v>
      </c>
      <c r="I196">
        <v>3.3089284016354359</v>
      </c>
      <c r="J196" s="13">
        <v>311651.59999999998</v>
      </c>
      <c r="K196">
        <v>8.1676651463435945</v>
      </c>
      <c r="L196">
        <v>6.2785908082307884E-2</v>
      </c>
    </row>
    <row r="197" spans="1:12" x14ac:dyDescent="0.3">
      <c r="A197" s="1">
        <v>40269</v>
      </c>
      <c r="B197">
        <v>56.05</v>
      </c>
      <c r="C197" s="15">
        <v>19789</v>
      </c>
      <c r="D197">
        <v>5.33</v>
      </c>
      <c r="E197">
        <v>6.51</v>
      </c>
      <c r="F197">
        <v>8.7200000000000006</v>
      </c>
      <c r="G197" s="4">
        <v>5.26</v>
      </c>
      <c r="H197">
        <f t="shared" si="3"/>
        <v>3.2870986129583946</v>
      </c>
      <c r="I197">
        <v>3.2870986129583946</v>
      </c>
      <c r="J197" s="13">
        <v>307083.5</v>
      </c>
      <c r="K197">
        <v>-2.0451565130560567</v>
      </c>
      <c r="L197">
        <v>-3.0460560224796596</v>
      </c>
    </row>
    <row r="198" spans="1:12" x14ac:dyDescent="0.3">
      <c r="A198" s="1">
        <v>40299</v>
      </c>
      <c r="B198">
        <v>55.96</v>
      </c>
      <c r="C198" s="15">
        <v>1430</v>
      </c>
      <c r="D198">
        <v>-0.44</v>
      </c>
      <c r="E198">
        <v>0.15</v>
      </c>
      <c r="F198">
        <v>9.4</v>
      </c>
      <c r="G198" s="4">
        <v>5.22</v>
      </c>
      <c r="H198">
        <f t="shared" si="3"/>
        <v>3.9726287777988922</v>
      </c>
      <c r="I198">
        <v>3.9726287777988922</v>
      </c>
      <c r="J198" s="13">
        <v>315988.40000000002</v>
      </c>
      <c r="K198">
        <v>2.4294673374209097</v>
      </c>
      <c r="L198">
        <v>-1.5130438647191546</v>
      </c>
    </row>
    <row r="199" spans="1:12" x14ac:dyDescent="0.3">
      <c r="A199" s="1">
        <v>40330</v>
      </c>
      <c r="B199">
        <v>55.78</v>
      </c>
      <c r="C199" s="15">
        <v>2059</v>
      </c>
      <c r="D199">
        <v>0.26</v>
      </c>
      <c r="E199">
        <v>0.69</v>
      </c>
      <c r="F199">
        <v>9.94</v>
      </c>
      <c r="G199" s="4">
        <v>4.84</v>
      </c>
      <c r="H199">
        <f t="shared" si="3"/>
        <v>4.8645555131629159</v>
      </c>
      <c r="I199">
        <v>4.8645555131629159</v>
      </c>
      <c r="J199" s="13">
        <v>321023.2</v>
      </c>
      <c r="K199">
        <v>1.5807890609302433</v>
      </c>
      <c r="L199">
        <v>-0.67462199596195482</v>
      </c>
    </row>
    <row r="200" spans="1:12" x14ac:dyDescent="0.3">
      <c r="A200" s="1">
        <v>40360</v>
      </c>
      <c r="B200">
        <v>55.53</v>
      </c>
      <c r="C200" s="15">
        <v>2454</v>
      </c>
      <c r="D200">
        <v>0.2</v>
      </c>
      <c r="E200">
        <v>0.47</v>
      </c>
      <c r="F200">
        <v>10.32</v>
      </c>
      <c r="G200" s="4">
        <v>4.5999999999999996</v>
      </c>
      <c r="H200">
        <f t="shared" si="3"/>
        <v>5.4684512428298193</v>
      </c>
      <c r="I200">
        <v>5.4684512428298193</v>
      </c>
      <c r="J200" s="13">
        <v>332454.2</v>
      </c>
      <c r="K200">
        <v>3.4889061806387289</v>
      </c>
      <c r="L200">
        <v>2.8885181753089961</v>
      </c>
    </row>
    <row r="201" spans="1:12" x14ac:dyDescent="0.3">
      <c r="A201" s="1">
        <v>40391</v>
      </c>
      <c r="B201">
        <v>54.98</v>
      </c>
      <c r="C201" s="15">
        <v>5222</v>
      </c>
      <c r="D201">
        <v>1.07</v>
      </c>
      <c r="E201">
        <v>1.56</v>
      </c>
      <c r="F201">
        <v>10.66</v>
      </c>
      <c r="G201" s="4">
        <v>4.49</v>
      </c>
      <c r="H201">
        <f t="shared" si="3"/>
        <v>5.9048712795482849</v>
      </c>
      <c r="I201">
        <v>5.9048712795482849</v>
      </c>
      <c r="J201" s="13">
        <v>334225.59999999998</v>
      </c>
      <c r="K201">
        <v>0.49156079718439827</v>
      </c>
      <c r="L201">
        <v>2.7805690193444477</v>
      </c>
    </row>
    <row r="202" spans="1:12" x14ac:dyDescent="0.3">
      <c r="A202" s="1">
        <v>40422</v>
      </c>
      <c r="B202">
        <v>54.89</v>
      </c>
      <c r="C202" s="15">
        <v>27756</v>
      </c>
      <c r="D202">
        <v>7.6</v>
      </c>
      <c r="E202">
        <v>8.36</v>
      </c>
      <c r="F202">
        <v>10.66</v>
      </c>
      <c r="G202" s="4">
        <v>4.7</v>
      </c>
      <c r="H202">
        <f t="shared" si="3"/>
        <v>5.6924546322827174</v>
      </c>
      <c r="I202">
        <v>5.6924546322827174</v>
      </c>
      <c r="J202" s="13">
        <v>331255.90000000002</v>
      </c>
      <c r="K202">
        <v>-1.3413233977624728</v>
      </c>
      <c r="L202">
        <v>0.44932732113589502</v>
      </c>
    </row>
    <row r="203" spans="1:12" x14ac:dyDescent="0.3">
      <c r="A203" s="1">
        <v>40452</v>
      </c>
      <c r="B203">
        <v>55.07</v>
      </c>
      <c r="C203" s="15">
        <v>9738</v>
      </c>
      <c r="D203">
        <v>2.09</v>
      </c>
      <c r="E203">
        <v>2.77</v>
      </c>
      <c r="F203">
        <v>10.66</v>
      </c>
      <c r="G203" s="4">
        <v>5.2</v>
      </c>
      <c r="H203">
        <f t="shared" si="3"/>
        <v>5.1901140684410541</v>
      </c>
      <c r="I203">
        <v>5.1901140684410541</v>
      </c>
      <c r="J203" s="13">
        <v>344963.8</v>
      </c>
      <c r="K203">
        <v>3.3075383788752077</v>
      </c>
      <c r="L203">
        <v>3.4792456883337763</v>
      </c>
    </row>
    <row r="204" spans="1:12" x14ac:dyDescent="0.3">
      <c r="A204" s="1">
        <v>40483</v>
      </c>
      <c r="B204">
        <v>54.65</v>
      </c>
      <c r="C204" s="15">
        <v>4166</v>
      </c>
      <c r="D204">
        <v>0.5</v>
      </c>
      <c r="E204">
        <v>1.1599999999999999</v>
      </c>
      <c r="F204">
        <v>10.66</v>
      </c>
      <c r="G204" s="4">
        <v>5.63</v>
      </c>
      <c r="H204">
        <f t="shared" si="3"/>
        <v>4.7619047619047672</v>
      </c>
      <c r="I204">
        <v>4.7619047619047672</v>
      </c>
      <c r="J204" s="13">
        <v>356707.5</v>
      </c>
      <c r="K204">
        <v>2.5211784678932148</v>
      </c>
      <c r="L204">
        <v>5.2525465321555664</v>
      </c>
    </row>
    <row r="205" spans="1:12" x14ac:dyDescent="0.3">
      <c r="A205" s="1">
        <v>40513</v>
      </c>
      <c r="B205">
        <v>51.77</v>
      </c>
      <c r="C205" s="15">
        <v>10853</v>
      </c>
      <c r="D205">
        <v>4.38</v>
      </c>
      <c r="E205">
        <v>3.12</v>
      </c>
      <c r="F205">
        <v>10.66</v>
      </c>
      <c r="G205" s="4">
        <v>5.91</v>
      </c>
      <c r="H205">
        <f t="shared" si="3"/>
        <v>4.4849400434331166</v>
      </c>
      <c r="I205">
        <v>4.4849400434331166</v>
      </c>
      <c r="J205" s="13">
        <v>355797.4</v>
      </c>
      <c r="K205">
        <v>-0.88355004806270898</v>
      </c>
      <c r="L205">
        <v>3.5676095319341572</v>
      </c>
    </row>
    <row r="206" spans="1:12" x14ac:dyDescent="0.3">
      <c r="A206" s="1">
        <v>40544</v>
      </c>
      <c r="B206">
        <v>52.4</v>
      </c>
      <c r="C206" s="15">
        <v>17748</v>
      </c>
      <c r="D206">
        <v>4.25</v>
      </c>
      <c r="E206">
        <v>5.42</v>
      </c>
      <c r="F206">
        <v>10.85</v>
      </c>
      <c r="G206" s="4">
        <v>5.99</v>
      </c>
      <c r="H206">
        <f t="shared" si="3"/>
        <v>4.5853382394565489</v>
      </c>
      <c r="I206">
        <v>4.5853382394565489</v>
      </c>
      <c r="J206" s="13">
        <v>333255.59999999998</v>
      </c>
      <c r="K206">
        <v>-7.3718725398027374</v>
      </c>
      <c r="L206">
        <v>-4.4103182813591824</v>
      </c>
    </row>
    <row r="207" spans="1:12" x14ac:dyDescent="0.3">
      <c r="A207" s="1">
        <v>40575</v>
      </c>
      <c r="B207">
        <v>52.37</v>
      </c>
      <c r="C207" s="15">
        <v>7913</v>
      </c>
      <c r="D207">
        <v>0.78</v>
      </c>
      <c r="E207">
        <v>2.38</v>
      </c>
      <c r="F207">
        <v>11.17</v>
      </c>
      <c r="G207" s="4">
        <v>6.01</v>
      </c>
      <c r="H207">
        <f t="shared" si="3"/>
        <v>4.8674653334590978</v>
      </c>
      <c r="I207">
        <v>4.8674653334590978</v>
      </c>
      <c r="J207" s="13">
        <v>334982</v>
      </c>
      <c r="K207">
        <v>-0.28013307618746097</v>
      </c>
      <c r="L207">
        <v>-5.0852493024123202</v>
      </c>
    </row>
    <row r="208" spans="1:12" x14ac:dyDescent="0.3">
      <c r="A208" s="1">
        <v>40603</v>
      </c>
      <c r="B208">
        <v>52.61</v>
      </c>
      <c r="C208" s="15">
        <v>13600</v>
      </c>
      <c r="D208">
        <v>2.72</v>
      </c>
      <c r="E208">
        <v>3.81</v>
      </c>
      <c r="F208">
        <v>11.62</v>
      </c>
      <c r="G208" s="4">
        <v>6.3</v>
      </c>
      <c r="H208">
        <f t="shared" si="3"/>
        <v>5.0047036688617208</v>
      </c>
      <c r="I208">
        <v>5.0047036688617208</v>
      </c>
      <c r="J208" s="13">
        <v>347879.6</v>
      </c>
      <c r="K208">
        <v>2.9910923733071471</v>
      </c>
      <c r="L208">
        <v>-2.2333072522594422</v>
      </c>
    </row>
    <row r="209" spans="1:12" x14ac:dyDescent="0.3">
      <c r="A209" s="1">
        <v>40634</v>
      </c>
      <c r="B209">
        <v>52.61</v>
      </c>
      <c r="C209" s="15">
        <v>18053</v>
      </c>
      <c r="D209">
        <v>4.3099999999999996</v>
      </c>
      <c r="E209">
        <v>5.09</v>
      </c>
      <c r="F209">
        <v>11.74</v>
      </c>
      <c r="G209" s="4">
        <v>6.51</v>
      </c>
      <c r="H209">
        <f t="shared" si="3"/>
        <v>4.9103370575532823</v>
      </c>
      <c r="I209">
        <v>4.9103370575532823</v>
      </c>
      <c r="J209" s="13">
        <v>349049.3</v>
      </c>
      <c r="K209">
        <v>-0.43141636142660644</v>
      </c>
      <c r="L209">
        <v>-3.0916073196432858</v>
      </c>
    </row>
    <row r="210" spans="1:12" x14ac:dyDescent="0.3">
      <c r="A210" s="1">
        <v>40664</v>
      </c>
      <c r="B210">
        <v>52.22</v>
      </c>
      <c r="C210" s="15">
        <v>7506</v>
      </c>
      <c r="D210">
        <v>1.22</v>
      </c>
      <c r="E210">
        <v>2.04</v>
      </c>
      <c r="F210">
        <v>11.92</v>
      </c>
      <c r="G210" s="4">
        <v>6.55</v>
      </c>
      <c r="H210">
        <f t="shared" si="3"/>
        <v>5.039887376818375</v>
      </c>
      <c r="I210">
        <v>5.039887376818375</v>
      </c>
      <c r="J210" s="13">
        <v>366256.2</v>
      </c>
      <c r="K210">
        <v>4.3429607338472564</v>
      </c>
      <c r="L210">
        <v>0.81899295715051057</v>
      </c>
    </row>
    <row r="211" spans="1:12" x14ac:dyDescent="0.3">
      <c r="A211" s="1">
        <v>40695</v>
      </c>
      <c r="B211">
        <v>52.35</v>
      </c>
      <c r="C211" s="15">
        <v>13370</v>
      </c>
      <c r="D211">
        <v>2.7</v>
      </c>
      <c r="E211">
        <v>3.67</v>
      </c>
      <c r="F211">
        <v>12.1</v>
      </c>
      <c r="G211" s="4">
        <v>6.71</v>
      </c>
      <c r="H211">
        <f t="shared" si="3"/>
        <v>5.0510730015931093</v>
      </c>
      <c r="I211">
        <v>5.0510730015931093</v>
      </c>
      <c r="J211" s="13">
        <v>370951.2</v>
      </c>
      <c r="K211">
        <v>1.1239116257456772</v>
      </c>
      <c r="L211">
        <v>1.7634373854081398</v>
      </c>
    </row>
    <row r="212" spans="1:12" x14ac:dyDescent="0.3">
      <c r="A212" s="1">
        <v>40725</v>
      </c>
      <c r="B212">
        <v>52.52</v>
      </c>
      <c r="C212" s="15">
        <v>13789</v>
      </c>
      <c r="D212">
        <v>2.99</v>
      </c>
      <c r="E212">
        <v>3.75</v>
      </c>
      <c r="F212">
        <v>12.25</v>
      </c>
      <c r="G212" s="4">
        <v>6.87</v>
      </c>
      <c r="H212">
        <f t="shared" si="3"/>
        <v>5.0341536446149693</v>
      </c>
      <c r="I212">
        <v>5.0341536446149693</v>
      </c>
      <c r="J212" s="13">
        <v>373143.3</v>
      </c>
      <c r="K212">
        <v>0.4293674217539234</v>
      </c>
      <c r="L212">
        <v>2.491678041277523</v>
      </c>
    </row>
    <row r="213" spans="1:12" x14ac:dyDescent="0.3">
      <c r="A213" s="1">
        <v>40756</v>
      </c>
      <c r="B213">
        <v>52.29</v>
      </c>
      <c r="C213" s="15">
        <v>4561</v>
      </c>
      <c r="D213">
        <v>0.56000000000000005</v>
      </c>
      <c r="E213">
        <v>1.22</v>
      </c>
      <c r="F213">
        <v>12.42</v>
      </c>
      <c r="G213" s="4">
        <v>7.23</v>
      </c>
      <c r="H213">
        <f t="shared" si="3"/>
        <v>4.8400634150890687</v>
      </c>
      <c r="I213">
        <v>4.8400634150890687</v>
      </c>
      <c r="J213" s="13">
        <v>376769.3</v>
      </c>
      <c r="K213">
        <v>0.59779577090957048</v>
      </c>
      <c r="L213">
        <v>2.862255452746143</v>
      </c>
    </row>
    <row r="214" spans="1:12" x14ac:dyDescent="0.3">
      <c r="A214" s="1">
        <v>40787</v>
      </c>
      <c r="B214">
        <v>52.11</v>
      </c>
      <c r="C214" s="15">
        <v>8096</v>
      </c>
      <c r="D214">
        <v>1.63</v>
      </c>
      <c r="E214">
        <v>2.19</v>
      </c>
      <c r="F214">
        <v>11.91</v>
      </c>
      <c r="G214" s="4">
        <v>7.31</v>
      </c>
      <c r="H214">
        <f t="shared" si="3"/>
        <v>4.2866461653154442</v>
      </c>
      <c r="I214">
        <v>4.2866461653154442</v>
      </c>
      <c r="J214" s="13">
        <v>361724.6</v>
      </c>
      <c r="K214">
        <v>-4.6036829146279601</v>
      </c>
      <c r="L214">
        <v>-2.5129687994886352</v>
      </c>
    </row>
    <row r="215" spans="1:12" x14ac:dyDescent="0.3">
      <c r="A215" s="1">
        <v>40817</v>
      </c>
      <c r="B215">
        <v>51.7</v>
      </c>
      <c r="C215" s="15">
        <v>13959</v>
      </c>
      <c r="D215">
        <v>2.99</v>
      </c>
      <c r="E215">
        <v>3.63</v>
      </c>
      <c r="F215">
        <v>11.7</v>
      </c>
      <c r="G215" s="4">
        <v>6.97</v>
      </c>
      <c r="H215">
        <f t="shared" si="3"/>
        <v>4.4218005048144216</v>
      </c>
      <c r="I215">
        <v>4.4218005048144216</v>
      </c>
      <c r="J215" s="13">
        <v>378491</v>
      </c>
      <c r="K215">
        <v>4.1017134062281357</v>
      </c>
      <c r="L215">
        <v>1.2976859412204833</v>
      </c>
    </row>
    <row r="216" spans="1:12" x14ac:dyDescent="0.3">
      <c r="A216" s="1">
        <v>40848</v>
      </c>
      <c r="B216">
        <v>51.76</v>
      </c>
      <c r="C216" s="15">
        <v>8204</v>
      </c>
      <c r="D216">
        <v>1.26</v>
      </c>
      <c r="E216">
        <v>2.1</v>
      </c>
      <c r="F216">
        <v>11.4</v>
      </c>
      <c r="G216" s="4">
        <v>6.64</v>
      </c>
      <c r="H216">
        <f t="shared" si="3"/>
        <v>4.4636159039759926</v>
      </c>
      <c r="I216">
        <v>4.4636159039759926</v>
      </c>
      <c r="J216" s="13">
        <v>389560.8</v>
      </c>
      <c r="K216">
        <v>2.3641205066628146</v>
      </c>
      <c r="L216">
        <v>3.06168020361135</v>
      </c>
    </row>
    <row r="217" spans="1:12" x14ac:dyDescent="0.3">
      <c r="A217" s="1">
        <v>40878</v>
      </c>
      <c r="B217">
        <v>51.27</v>
      </c>
      <c r="C217" s="15">
        <v>1934</v>
      </c>
      <c r="D217">
        <v>0.59</v>
      </c>
      <c r="E217">
        <v>0.5</v>
      </c>
      <c r="F217">
        <v>10.9</v>
      </c>
      <c r="G217" s="4">
        <v>6.5</v>
      </c>
      <c r="H217">
        <f t="shared" si="3"/>
        <v>4.1314553990610348</v>
      </c>
      <c r="I217">
        <v>4.1314553990610348</v>
      </c>
      <c r="J217" s="13">
        <v>391595.1</v>
      </c>
      <c r="K217">
        <v>2.2208078973307011E-2</v>
      </c>
      <c r="L217">
        <v>2.8022046000394818</v>
      </c>
    </row>
    <row r="218" spans="1:12" x14ac:dyDescent="0.3">
      <c r="A218" s="1">
        <v>40909</v>
      </c>
      <c r="B218">
        <v>51.83</v>
      </c>
      <c r="C218" s="15">
        <v>26016</v>
      </c>
      <c r="D218">
        <v>5.56</v>
      </c>
      <c r="E218">
        <v>7.14</v>
      </c>
      <c r="F218">
        <v>10.7</v>
      </c>
      <c r="G218" s="4">
        <v>6.22</v>
      </c>
      <c r="H218">
        <f t="shared" si="3"/>
        <v>4.2176614573526505</v>
      </c>
      <c r="I218">
        <v>4.2176614573526505</v>
      </c>
      <c r="J218" s="13">
        <v>367215.4</v>
      </c>
      <c r="K218">
        <v>-6.9863919801655072</v>
      </c>
      <c r="L218">
        <v>-4.580317056557548</v>
      </c>
    </row>
    <row r="219" spans="1:12" x14ac:dyDescent="0.3">
      <c r="A219" s="1">
        <v>40940</v>
      </c>
      <c r="B219">
        <v>52.22</v>
      </c>
      <c r="C219" s="15">
        <v>9514</v>
      </c>
      <c r="D219">
        <v>1.44</v>
      </c>
      <c r="E219">
        <v>2.59</v>
      </c>
      <c r="F219">
        <v>10.4</v>
      </c>
      <c r="G219" s="4">
        <v>5.85</v>
      </c>
      <c r="H219">
        <f t="shared" si="3"/>
        <v>4.2985356636750183</v>
      </c>
      <c r="I219">
        <v>4.2985356636750183</v>
      </c>
      <c r="J219" s="13">
        <v>367177.3</v>
      </c>
      <c r="K219">
        <v>-0.45929213509694478</v>
      </c>
      <c r="L219">
        <v>-5.4917487061861063</v>
      </c>
    </row>
    <row r="220" spans="1:12" x14ac:dyDescent="0.3">
      <c r="A220" s="1">
        <v>40969</v>
      </c>
      <c r="B220">
        <v>52.72</v>
      </c>
      <c r="C220" s="15">
        <v>10442</v>
      </c>
      <c r="D220">
        <v>1.89</v>
      </c>
      <c r="E220">
        <v>2.63</v>
      </c>
      <c r="F220">
        <v>9.82</v>
      </c>
      <c r="G220" s="4">
        <v>5.24</v>
      </c>
      <c r="H220">
        <f t="shared" si="3"/>
        <v>4.3519574306347453</v>
      </c>
      <c r="I220">
        <v>4.3519574306347453</v>
      </c>
      <c r="J220" s="13">
        <v>392996.5</v>
      </c>
      <c r="K220">
        <v>6.5858127989702808</v>
      </c>
      <c r="L220">
        <v>1.0441389352622288</v>
      </c>
    </row>
    <row r="221" spans="1:12" x14ac:dyDescent="0.3">
      <c r="A221" s="1">
        <v>41000</v>
      </c>
      <c r="B221">
        <v>53.22</v>
      </c>
      <c r="C221" s="15">
        <v>14240</v>
      </c>
      <c r="D221">
        <v>2.99</v>
      </c>
      <c r="E221">
        <v>3.69</v>
      </c>
      <c r="F221">
        <v>9.35</v>
      </c>
      <c r="G221" s="4">
        <v>5.0999999999999996</v>
      </c>
      <c r="H221">
        <f t="shared" si="3"/>
        <v>4.0437678401522348</v>
      </c>
      <c r="I221">
        <v>4.0437678401522348</v>
      </c>
      <c r="J221" s="13">
        <v>381795.3</v>
      </c>
      <c r="K221">
        <v>-3.5295531876553099</v>
      </c>
      <c r="L221">
        <v>-3.195181491180954</v>
      </c>
    </row>
    <row r="222" spans="1:12" x14ac:dyDescent="0.3">
      <c r="A222" s="1">
        <v>41030</v>
      </c>
      <c r="B222">
        <v>53.27</v>
      </c>
      <c r="C222" s="15">
        <v>2653</v>
      </c>
      <c r="D222">
        <v>0.41</v>
      </c>
      <c r="E222">
        <v>0.66</v>
      </c>
      <c r="F222">
        <v>8.8699999999999992</v>
      </c>
      <c r="G222" s="4">
        <v>4.99</v>
      </c>
      <c r="H222">
        <f t="shared" si="3"/>
        <v>3.6955900561958188</v>
      </c>
      <c r="I222">
        <v>3.6955900561958188</v>
      </c>
      <c r="J222" s="13">
        <v>400281.3</v>
      </c>
      <c r="K222">
        <v>4.3690234031039665</v>
      </c>
      <c r="L222">
        <v>0.70302016527685751</v>
      </c>
    </row>
    <row r="223" spans="1:12" x14ac:dyDescent="0.3">
      <c r="A223" s="1">
        <v>41061</v>
      </c>
      <c r="B223">
        <v>53.42</v>
      </c>
      <c r="C223" s="15">
        <v>2794</v>
      </c>
      <c r="D223">
        <v>0.53</v>
      </c>
      <c r="E223">
        <v>0.71</v>
      </c>
      <c r="F223">
        <v>8.39</v>
      </c>
      <c r="G223" s="4">
        <v>4.92</v>
      </c>
      <c r="H223">
        <f t="shared" si="3"/>
        <v>3.3072817384674158</v>
      </c>
      <c r="I223">
        <v>3.3072817384674158</v>
      </c>
      <c r="J223" s="13">
        <v>398714.5</v>
      </c>
      <c r="K223">
        <v>-0.47204734468841991</v>
      </c>
      <c r="L223">
        <v>6.3615119075843829E-2</v>
      </c>
    </row>
    <row r="224" spans="1:12" x14ac:dyDescent="0.3">
      <c r="A224" s="1">
        <v>41091</v>
      </c>
      <c r="B224">
        <v>53.6</v>
      </c>
      <c r="C224" s="15">
        <v>5570</v>
      </c>
      <c r="D224">
        <v>0.95</v>
      </c>
      <c r="E224">
        <v>1.36</v>
      </c>
      <c r="F224">
        <v>8.07</v>
      </c>
      <c r="G224" s="4">
        <v>5.2</v>
      </c>
      <c r="H224">
        <f t="shared" si="3"/>
        <v>2.7281368821292729</v>
      </c>
      <c r="I224">
        <v>2.7281368821292729</v>
      </c>
      <c r="J224" s="13">
        <v>414617.4</v>
      </c>
      <c r="K224">
        <v>3.4818533419654685</v>
      </c>
      <c r="L224">
        <v>3.6837040797587539</v>
      </c>
    </row>
    <row r="225" spans="1:12" x14ac:dyDescent="0.3">
      <c r="A225" s="1">
        <v>41122</v>
      </c>
      <c r="B225">
        <v>53.33</v>
      </c>
      <c r="C225" s="15">
        <v>2997</v>
      </c>
      <c r="D225">
        <v>0.3</v>
      </c>
      <c r="E225">
        <v>0.72</v>
      </c>
      <c r="F225">
        <v>7.85</v>
      </c>
      <c r="G225" s="9">
        <v>5.24</v>
      </c>
      <c r="H225">
        <f t="shared" si="3"/>
        <v>2.4800456100342094</v>
      </c>
      <c r="I225">
        <v>2.4800456100342094</v>
      </c>
      <c r="J225" s="13">
        <v>419906.3</v>
      </c>
      <c r="K225">
        <v>0.85839682623181091</v>
      </c>
      <c r="L225">
        <v>4.4527419186685568</v>
      </c>
    </row>
    <row r="226" spans="1:12" x14ac:dyDescent="0.3">
      <c r="A226" s="1">
        <v>41153</v>
      </c>
      <c r="B226">
        <v>54.05</v>
      </c>
      <c r="C226" s="15">
        <v>1591</v>
      </c>
      <c r="D226">
        <v>0.27</v>
      </c>
      <c r="E226">
        <v>0.4</v>
      </c>
      <c r="F226">
        <v>7.39</v>
      </c>
      <c r="G226" s="9">
        <v>5.28</v>
      </c>
      <c r="H226">
        <f t="shared" si="3"/>
        <v>2.00417933130701</v>
      </c>
      <c r="I226">
        <v>2.00417933130701</v>
      </c>
      <c r="J226" s="13">
        <v>393524.7</v>
      </c>
      <c r="K226">
        <v>-7.0571960159909963</v>
      </c>
      <c r="L226">
        <v>-3.2878711719862008</v>
      </c>
    </row>
    <row r="227" spans="1:12" x14ac:dyDescent="0.3">
      <c r="A227" s="1">
        <v>41183</v>
      </c>
      <c r="B227">
        <v>54.52</v>
      </c>
      <c r="C227" s="15">
        <v>12398</v>
      </c>
      <c r="D227">
        <v>2.35</v>
      </c>
      <c r="E227">
        <v>2.87</v>
      </c>
      <c r="F227">
        <v>7.23</v>
      </c>
      <c r="G227" s="9">
        <v>5.45</v>
      </c>
      <c r="H227">
        <f t="shared" si="3"/>
        <v>1.6880037932669456</v>
      </c>
      <c r="I227">
        <v>1.6880037932669456</v>
      </c>
      <c r="J227" s="13">
        <v>422672.1</v>
      </c>
      <c r="K227">
        <v>6.5569963962293087</v>
      </c>
      <c r="L227">
        <v>2.9372967022314178</v>
      </c>
    </row>
    <row r="228" spans="1:12" x14ac:dyDescent="0.3">
      <c r="A228" s="1">
        <v>41214</v>
      </c>
      <c r="B228">
        <v>54.65</v>
      </c>
      <c r="C228" s="15">
        <v>-5515</v>
      </c>
      <c r="D228">
        <v>-1.34</v>
      </c>
      <c r="E228">
        <v>-1.29</v>
      </c>
      <c r="F228">
        <v>7.14</v>
      </c>
      <c r="G228" s="9">
        <v>5.53</v>
      </c>
      <c r="H228">
        <f t="shared" si="3"/>
        <v>1.5256325215578403</v>
      </c>
      <c r="I228">
        <v>1.5256325215578403</v>
      </c>
      <c r="J228" s="13">
        <v>423816.4</v>
      </c>
      <c r="K228">
        <v>-0.32791576609909612</v>
      </c>
      <c r="L228">
        <v>2.0329499567223852</v>
      </c>
    </row>
    <row r="229" spans="1:12" x14ac:dyDescent="0.3">
      <c r="A229" s="1">
        <v>41244</v>
      </c>
      <c r="B229">
        <v>53.67</v>
      </c>
      <c r="C229" s="15">
        <v>22252</v>
      </c>
      <c r="D229">
        <v>6.74</v>
      </c>
      <c r="E229">
        <v>5.38</v>
      </c>
      <c r="F229">
        <v>7.16</v>
      </c>
      <c r="G229" s="9">
        <v>5.84</v>
      </c>
      <c r="H229">
        <f t="shared" si="3"/>
        <v>1.2471655328798237</v>
      </c>
      <c r="I229">
        <v>1.2471655328798237</v>
      </c>
      <c r="J229" s="13">
        <v>423195.9</v>
      </c>
      <c r="K229">
        <v>-0.93351250846733791</v>
      </c>
      <c r="L229">
        <v>0.80778233342486683</v>
      </c>
    </row>
    <row r="230" spans="1:12" x14ac:dyDescent="0.3">
      <c r="A230" s="1">
        <v>41275</v>
      </c>
      <c r="B230">
        <v>53.98</v>
      </c>
      <c r="C230" s="15">
        <v>30251</v>
      </c>
      <c r="D230">
        <v>6.38</v>
      </c>
      <c r="E230">
        <v>7.4</v>
      </c>
      <c r="F230">
        <v>7.11</v>
      </c>
      <c r="G230" s="9">
        <v>6.15</v>
      </c>
      <c r="H230">
        <f t="shared" si="3"/>
        <v>0.90438059349975397</v>
      </c>
      <c r="I230">
        <v>0.90438059349975397</v>
      </c>
      <c r="J230" s="13">
        <v>414131.8</v>
      </c>
      <c r="K230">
        <v>-3.0213824262919076</v>
      </c>
      <c r="L230">
        <v>-2.7609263178755561</v>
      </c>
    </row>
    <row r="231" spans="1:12" x14ac:dyDescent="0.3">
      <c r="A231" s="1">
        <v>41306</v>
      </c>
      <c r="B231">
        <v>54.03</v>
      </c>
      <c r="C231" s="15">
        <v>-3031</v>
      </c>
      <c r="D231">
        <v>-1.81</v>
      </c>
      <c r="E231">
        <v>-0.76</v>
      </c>
      <c r="F231">
        <v>7.12</v>
      </c>
      <c r="G231" s="9">
        <v>6.31</v>
      </c>
      <c r="H231">
        <f t="shared" si="3"/>
        <v>0.76192267895776045</v>
      </c>
      <c r="I231">
        <v>0.76192267895776045</v>
      </c>
      <c r="J231" s="13">
        <v>398645.4</v>
      </c>
      <c r="K231">
        <v>-4.4093877296710104</v>
      </c>
      <c r="L231">
        <v>-7.1384099435614861</v>
      </c>
    </row>
    <row r="232" spans="1:12" x14ac:dyDescent="0.3">
      <c r="A232" s="1">
        <v>41334</v>
      </c>
      <c r="B232">
        <v>54.05</v>
      </c>
      <c r="C232" s="15">
        <v>3500</v>
      </c>
      <c r="D232">
        <v>0.26</v>
      </c>
      <c r="E232">
        <v>0.81</v>
      </c>
      <c r="F232">
        <v>7.15</v>
      </c>
      <c r="G232" s="9">
        <v>6.59</v>
      </c>
      <c r="H232">
        <f t="shared" si="3"/>
        <v>0.52537761516087134</v>
      </c>
      <c r="I232">
        <v>0.52537761516087134</v>
      </c>
      <c r="J232" s="13">
        <v>427409.8</v>
      </c>
      <c r="K232">
        <v>6.4981881242633932</v>
      </c>
      <c r="L232">
        <v>-0.75987157957989604</v>
      </c>
    </row>
    <row r="233" spans="1:12" x14ac:dyDescent="0.3">
      <c r="A233" s="1">
        <v>41365</v>
      </c>
      <c r="B233">
        <v>53.78</v>
      </c>
      <c r="C233" s="15">
        <v>10337</v>
      </c>
      <c r="D233">
        <v>1.64</v>
      </c>
      <c r="E233">
        <v>2.31</v>
      </c>
      <c r="F233">
        <v>7.26</v>
      </c>
      <c r="G233" s="9">
        <v>6.49</v>
      </c>
      <c r="H233">
        <f t="shared" si="3"/>
        <v>0.72307258897550408</v>
      </c>
      <c r="I233">
        <v>0.72307258897550408</v>
      </c>
      <c r="J233" s="13">
        <v>438856.8</v>
      </c>
      <c r="K233">
        <v>2.094450409927795</v>
      </c>
      <c r="L233">
        <v>0.51282702635693234</v>
      </c>
    </row>
    <row r="234" spans="1:12" x14ac:dyDescent="0.3">
      <c r="A234" s="1">
        <v>41395</v>
      </c>
      <c r="B234">
        <v>53.92</v>
      </c>
      <c r="C234" s="15">
        <v>5681</v>
      </c>
      <c r="D234">
        <v>1.18</v>
      </c>
      <c r="E234">
        <v>1.29</v>
      </c>
      <c r="F234">
        <v>7.42</v>
      </c>
      <c r="G234" s="9">
        <v>6.5</v>
      </c>
      <c r="H234">
        <f t="shared" si="3"/>
        <v>0.86384976525821777</v>
      </c>
      <c r="I234">
        <v>0.86384976525821777</v>
      </c>
      <c r="J234" s="13">
        <v>439054.2</v>
      </c>
      <c r="K234">
        <v>-0.32427410565460946</v>
      </c>
      <c r="L234">
        <v>-8.6502969581780942E-2</v>
      </c>
    </row>
    <row r="235" spans="1:12" x14ac:dyDescent="0.3">
      <c r="A235" s="1">
        <v>41426</v>
      </c>
      <c r="B235">
        <v>53.61</v>
      </c>
      <c r="C235" s="15">
        <v>5429</v>
      </c>
      <c r="D235">
        <v>0.34</v>
      </c>
      <c r="E235">
        <v>1.25</v>
      </c>
      <c r="F235">
        <v>7.9</v>
      </c>
      <c r="G235" s="9">
        <v>6.7</v>
      </c>
      <c r="H235">
        <f t="shared" si="3"/>
        <v>1.1246485473289658</v>
      </c>
      <c r="I235">
        <v>1.1246485473289658</v>
      </c>
      <c r="J235" s="13">
        <v>442857</v>
      </c>
      <c r="K235">
        <v>0.60264369399938289</v>
      </c>
      <c r="L235">
        <v>0.15741251426975023</v>
      </c>
    </row>
    <row r="236" spans="1:12" x14ac:dyDescent="0.3">
      <c r="A236" s="1">
        <v>41456</v>
      </c>
      <c r="B236">
        <v>53.7</v>
      </c>
      <c r="C236" s="15">
        <v>2287</v>
      </c>
      <c r="D236">
        <v>0.88</v>
      </c>
      <c r="E236">
        <v>0.51</v>
      </c>
      <c r="F236">
        <v>8.23</v>
      </c>
      <c r="G236" s="9">
        <v>6.27</v>
      </c>
      <c r="H236">
        <f t="shared" si="3"/>
        <v>1.8443587089489011</v>
      </c>
      <c r="I236">
        <v>1.8443587089489011</v>
      </c>
      <c r="J236" s="13">
        <v>458458.9</v>
      </c>
      <c r="K236">
        <v>3.4325058597504565</v>
      </c>
      <c r="L236">
        <v>3.563199299655051</v>
      </c>
    </row>
    <row r="237" spans="1:12" x14ac:dyDescent="0.3">
      <c r="A237" s="1">
        <v>41487</v>
      </c>
      <c r="B237">
        <v>53.44</v>
      </c>
      <c r="C237">
        <v>-0.432</v>
      </c>
      <c r="D237">
        <v>-0.02</v>
      </c>
      <c r="E237">
        <v>-0.1</v>
      </c>
      <c r="F237">
        <v>8.4499999999999993</v>
      </c>
      <c r="G237" s="9">
        <v>6.09</v>
      </c>
      <c r="H237">
        <f t="shared" si="3"/>
        <v>2.2245263455556774</v>
      </c>
      <c r="I237">
        <v>2.2245263455556774</v>
      </c>
      <c r="J237" s="13">
        <v>452862.2</v>
      </c>
      <c r="K237">
        <v>-1.4679653167128492</v>
      </c>
      <c r="L237">
        <v>1.8823076792119808</v>
      </c>
    </row>
    <row r="238" spans="1:12" x14ac:dyDescent="0.3">
      <c r="A238" s="1">
        <v>41518</v>
      </c>
      <c r="B238">
        <v>52.95</v>
      </c>
      <c r="C238" s="15">
        <v>-9048</v>
      </c>
      <c r="D238">
        <v>-2.4</v>
      </c>
      <c r="E238">
        <v>-2.02</v>
      </c>
      <c r="F238">
        <v>8.9</v>
      </c>
      <c r="G238" s="9">
        <v>5.86</v>
      </c>
      <c r="H238">
        <f t="shared" si="3"/>
        <v>2.8717173625543158</v>
      </c>
      <c r="I238">
        <v>2.8717173625543158</v>
      </c>
      <c r="J238" s="13">
        <v>438766.7</v>
      </c>
      <c r="K238">
        <v>-3.5113716818774066</v>
      </c>
      <c r="L238">
        <v>-2.2313673053450001</v>
      </c>
    </row>
    <row r="239" spans="1:12" x14ac:dyDescent="0.3">
      <c r="A239" s="1">
        <v>41548</v>
      </c>
      <c r="B239">
        <v>53.1</v>
      </c>
      <c r="C239" s="15">
        <v>6188</v>
      </c>
      <c r="D239">
        <v>1.1299999999999999</v>
      </c>
      <c r="E239">
        <v>1.3</v>
      </c>
      <c r="F239">
        <v>9.25</v>
      </c>
      <c r="G239" s="9">
        <v>5.84</v>
      </c>
      <c r="H239">
        <f t="shared" si="3"/>
        <v>3.2218442932728575</v>
      </c>
      <c r="I239">
        <v>3.2218442932728575</v>
      </c>
      <c r="J239" s="13">
        <v>466166</v>
      </c>
      <c r="K239">
        <v>5.4890737161910508</v>
      </c>
      <c r="L239">
        <v>3.0829096172512171</v>
      </c>
    </row>
    <row r="240" spans="1:12" x14ac:dyDescent="0.3">
      <c r="A240" s="1">
        <v>41579</v>
      </c>
      <c r="B240">
        <v>52.73</v>
      </c>
      <c r="C240" s="15">
        <v>29745</v>
      </c>
      <c r="D240">
        <v>6.16</v>
      </c>
      <c r="E240">
        <v>6.32</v>
      </c>
      <c r="F240">
        <v>9.4499999999999993</v>
      </c>
      <c r="G240" s="9">
        <v>5.77</v>
      </c>
      <c r="H240">
        <f t="shared" si="3"/>
        <v>3.4792474236550852</v>
      </c>
      <c r="I240">
        <v>3.4792474236550852</v>
      </c>
      <c r="J240" s="13">
        <v>465693.8</v>
      </c>
      <c r="K240">
        <v>-0.64000880815164862</v>
      </c>
      <c r="L240">
        <v>2.3457944605342673</v>
      </c>
    </row>
    <row r="241" spans="1:12" ht="15" thickBot="1" x14ac:dyDescent="0.35">
      <c r="A241" s="1">
        <v>41609</v>
      </c>
      <c r="B241">
        <v>51.54</v>
      </c>
      <c r="C241" s="15">
        <v>10400</v>
      </c>
      <c r="D241">
        <v>3.22</v>
      </c>
      <c r="E241">
        <v>2.23</v>
      </c>
      <c r="F241">
        <v>9.9</v>
      </c>
      <c r="G241" s="10">
        <v>5.91</v>
      </c>
      <c r="H241">
        <f t="shared" si="3"/>
        <v>3.7673496364838188</v>
      </c>
      <c r="I241">
        <v>3.7673496364838188</v>
      </c>
      <c r="J241" s="13">
        <v>473552.5</v>
      </c>
      <c r="K241">
        <v>0.7576931038405732</v>
      </c>
      <c r="L241">
        <v>3.2975825668745129</v>
      </c>
    </row>
    <row r="242" spans="1:12" ht="15" thickTop="1" x14ac:dyDescent="0.3">
      <c r="A242" s="1">
        <v>41640</v>
      </c>
      <c r="B242">
        <v>52.63</v>
      </c>
      <c r="C242" s="15">
        <v>19921</v>
      </c>
      <c r="D242">
        <v>2.75</v>
      </c>
      <c r="E242">
        <v>4.3899999999999997</v>
      </c>
      <c r="F242">
        <v>10.17</v>
      </c>
      <c r="G242" s="4">
        <v>5.59</v>
      </c>
      <c r="H242">
        <f t="shared" si="3"/>
        <v>4.3375319632540821</v>
      </c>
      <c r="I242">
        <v>4.3375319632540821</v>
      </c>
      <c r="J242" s="13">
        <v>455935</v>
      </c>
      <c r="K242">
        <v>-4.3396246888670831</v>
      </c>
      <c r="L242">
        <v>-1.2521666375275742</v>
      </c>
    </row>
    <row r="243" spans="1:12" x14ac:dyDescent="0.3">
      <c r="A243" s="1">
        <v>41671</v>
      </c>
      <c r="B243">
        <v>51.84</v>
      </c>
      <c r="C243" s="15">
        <v>2130</v>
      </c>
      <c r="D243">
        <v>-0.74</v>
      </c>
      <c r="E243">
        <v>0.47</v>
      </c>
      <c r="F243">
        <v>10.43</v>
      </c>
      <c r="G243" s="4">
        <v>5.68</v>
      </c>
      <c r="H243">
        <f t="shared" si="3"/>
        <v>4.4947009841029617</v>
      </c>
      <c r="I243">
        <v>4.4947009841029617</v>
      </c>
      <c r="J243" s="13">
        <v>450358.8</v>
      </c>
      <c r="K243">
        <v>-1.9181714327842769</v>
      </c>
      <c r="L243">
        <v>-2.9338441036115936</v>
      </c>
    </row>
    <row r="244" spans="1:12" x14ac:dyDescent="0.3">
      <c r="A244" s="1">
        <v>41699</v>
      </c>
      <c r="B244">
        <v>51.79</v>
      </c>
      <c r="C244" s="15">
        <v>3580</v>
      </c>
      <c r="D244">
        <v>0.67</v>
      </c>
      <c r="E244">
        <v>0.75</v>
      </c>
      <c r="F244">
        <v>10.65</v>
      </c>
      <c r="G244" s="4">
        <v>6.15</v>
      </c>
      <c r="H244">
        <f t="shared" si="3"/>
        <v>4.2392840320301328</v>
      </c>
      <c r="I244">
        <v>4.2392840320301328</v>
      </c>
      <c r="J244" s="13">
        <v>462159.8</v>
      </c>
      <c r="K244">
        <v>1.6707702341664188</v>
      </c>
      <c r="L244">
        <v>-1.1623041798216383</v>
      </c>
    </row>
    <row r="245" spans="1:12" x14ac:dyDescent="0.3">
      <c r="A245" s="1">
        <v>41730</v>
      </c>
      <c r="B245">
        <v>52</v>
      </c>
      <c r="C245" s="15">
        <v>16896</v>
      </c>
      <c r="D245">
        <v>3.49</v>
      </c>
      <c r="E245">
        <v>3.52</v>
      </c>
      <c r="F245">
        <v>10.87</v>
      </c>
      <c r="G245" s="4">
        <v>6.28</v>
      </c>
      <c r="H245">
        <f t="shared" si="3"/>
        <v>4.318780579601067</v>
      </c>
      <c r="I245">
        <v>4.318780579601067</v>
      </c>
      <c r="J245" s="13">
        <v>468767.5</v>
      </c>
      <c r="K245">
        <v>0.7518318838126703</v>
      </c>
      <c r="L245">
        <v>-0.78107879562412386</v>
      </c>
    </row>
    <row r="246" spans="1:12" x14ac:dyDescent="0.3">
      <c r="A246" s="1">
        <v>41760</v>
      </c>
      <c r="B246">
        <v>52.18</v>
      </c>
      <c r="C246" s="15">
        <v>-11046</v>
      </c>
      <c r="D246">
        <v>-2.27</v>
      </c>
      <c r="E246">
        <v>-2.2999999999999998</v>
      </c>
      <c r="F246">
        <v>10.9</v>
      </c>
      <c r="G246" s="4">
        <v>6.37</v>
      </c>
      <c r="H246">
        <f t="shared" si="3"/>
        <v>4.2587195637867614</v>
      </c>
      <c r="I246">
        <v>4.2587195637867614</v>
      </c>
      <c r="J246" s="13">
        <v>473347.1</v>
      </c>
      <c r="K246">
        <v>0.51332685921252619</v>
      </c>
      <c r="L246">
        <v>-0.11323717904786479</v>
      </c>
    </row>
    <row r="247" spans="1:12" x14ac:dyDescent="0.3">
      <c r="A247" s="1">
        <v>41791</v>
      </c>
      <c r="B247">
        <v>52.75</v>
      </c>
      <c r="C247" s="15">
        <v>-2100</v>
      </c>
      <c r="D247">
        <v>-0.63</v>
      </c>
      <c r="E247">
        <v>-0.46</v>
      </c>
      <c r="F247">
        <v>10.9</v>
      </c>
      <c r="G247" s="4">
        <v>6.52</v>
      </c>
      <c r="H247">
        <f t="shared" si="3"/>
        <v>4.1119038678182562</v>
      </c>
      <c r="I247">
        <v>4.1119038678182562</v>
      </c>
      <c r="J247" s="13">
        <v>458516.5</v>
      </c>
      <c r="K247">
        <v>-3.5824638791490671</v>
      </c>
      <c r="L247">
        <v>-3.6249026123896688</v>
      </c>
    </row>
    <row r="248" spans="1:12" x14ac:dyDescent="0.3">
      <c r="A248" s="1">
        <v>41821</v>
      </c>
      <c r="B248">
        <v>53.17</v>
      </c>
      <c r="C248" s="15">
        <v>-4715</v>
      </c>
      <c r="D248">
        <v>-0.36</v>
      </c>
      <c r="E248">
        <v>-0.97</v>
      </c>
      <c r="F248">
        <v>10.9</v>
      </c>
      <c r="G248" s="4">
        <v>6.5</v>
      </c>
      <c r="H248">
        <f t="shared" si="3"/>
        <v>4.1314553990610348</v>
      </c>
      <c r="I248">
        <v>4.1314553990610348</v>
      </c>
      <c r="J248" s="13">
        <v>481994</v>
      </c>
      <c r="K248">
        <v>4.9834340011026157</v>
      </c>
      <c r="L248">
        <v>1.8902247663986405</v>
      </c>
    </row>
    <row r="249" spans="1:12" x14ac:dyDescent="0.3">
      <c r="A249" s="1">
        <v>41852</v>
      </c>
      <c r="B249">
        <v>53.81</v>
      </c>
      <c r="C249" s="15">
        <v>-14460</v>
      </c>
      <c r="D249">
        <v>-2.46</v>
      </c>
      <c r="E249">
        <v>-2.99</v>
      </c>
      <c r="F249">
        <v>10.9</v>
      </c>
      <c r="G249" s="4">
        <v>6.51</v>
      </c>
      <c r="H249">
        <f t="shared" si="3"/>
        <v>4.1216787156135526</v>
      </c>
      <c r="I249">
        <v>4.1216787156135526</v>
      </c>
      <c r="J249" s="13">
        <v>477052.9</v>
      </c>
      <c r="K249">
        <v>-1.2801966158145106</v>
      </c>
      <c r="L249">
        <v>1.1305634712508894</v>
      </c>
    </row>
    <row r="250" spans="1:12" x14ac:dyDescent="0.3">
      <c r="A250" s="1">
        <v>41883</v>
      </c>
      <c r="B250">
        <v>55.11</v>
      </c>
      <c r="C250" s="15">
        <v>-25491</v>
      </c>
      <c r="D250">
        <v>-4.2699999999999996</v>
      </c>
      <c r="E250">
        <v>-5.19</v>
      </c>
      <c r="F250">
        <v>10.9</v>
      </c>
      <c r="G250" s="4">
        <v>6.75</v>
      </c>
      <c r="H250">
        <f t="shared" si="3"/>
        <v>3.8875878220140603</v>
      </c>
      <c r="I250">
        <v>3.8875878220140603</v>
      </c>
      <c r="J250" s="13">
        <v>476520.6</v>
      </c>
      <c r="K250">
        <v>-0.67999644937941639</v>
      </c>
      <c r="L250">
        <v>0.28653825045208414</v>
      </c>
    </row>
    <row r="251" spans="1:12" x14ac:dyDescent="0.3">
      <c r="A251" s="1">
        <v>41913</v>
      </c>
      <c r="B251">
        <v>55.43</v>
      </c>
      <c r="C251" s="15">
        <v>3729</v>
      </c>
      <c r="D251">
        <v>0.94</v>
      </c>
      <c r="E251">
        <v>0.73</v>
      </c>
      <c r="F251">
        <v>10.92</v>
      </c>
      <c r="G251" s="4">
        <v>6.59</v>
      </c>
      <c r="H251">
        <f t="shared" si="3"/>
        <v>4.0622947743690574</v>
      </c>
      <c r="I251">
        <v>4.0622947743690574</v>
      </c>
      <c r="J251" s="13">
        <v>493304.7</v>
      </c>
      <c r="K251">
        <v>3.0425677586455535</v>
      </c>
      <c r="L251">
        <v>3.6475417225608098</v>
      </c>
    </row>
    <row r="252" spans="1:12" x14ac:dyDescent="0.3">
      <c r="A252" s="1">
        <v>41944</v>
      </c>
      <c r="B252">
        <v>56.01</v>
      </c>
      <c r="C252" s="15">
        <v>-8084</v>
      </c>
      <c r="D252">
        <v>-1.28</v>
      </c>
      <c r="E252">
        <v>-1.62</v>
      </c>
      <c r="F252">
        <v>11.15</v>
      </c>
      <c r="G252" s="4">
        <v>6.56</v>
      </c>
      <c r="H252">
        <f t="shared" si="3"/>
        <v>4.3074324324324342</v>
      </c>
      <c r="I252">
        <v>4.3074324324324342</v>
      </c>
      <c r="J252" s="13">
        <v>489484.4</v>
      </c>
      <c r="K252">
        <v>-1.2861284117242633</v>
      </c>
      <c r="L252">
        <v>2.752368189348342</v>
      </c>
    </row>
    <row r="253" spans="1:12" x14ac:dyDescent="0.3">
      <c r="A253" s="1">
        <v>41974</v>
      </c>
      <c r="B253">
        <v>56.28</v>
      </c>
      <c r="C253" s="15">
        <v>-12894</v>
      </c>
      <c r="D253">
        <v>0.13</v>
      </c>
      <c r="E253">
        <v>-2.57</v>
      </c>
      <c r="F253">
        <v>11.58</v>
      </c>
      <c r="G253" s="4">
        <v>6.41</v>
      </c>
      <c r="H253">
        <f t="shared" si="3"/>
        <v>4.8585659242552204</v>
      </c>
      <c r="I253">
        <v>4.8585659242552204</v>
      </c>
      <c r="J253" s="13">
        <v>499867.7</v>
      </c>
      <c r="K253">
        <v>1.3221585183671891</v>
      </c>
      <c r="L253">
        <v>4.6071614669443761</v>
      </c>
    </row>
    <row r="254" spans="1:12" x14ac:dyDescent="0.3">
      <c r="A254" s="1">
        <v>42005</v>
      </c>
      <c r="B254">
        <v>57.16</v>
      </c>
      <c r="C254" s="15">
        <v>21063</v>
      </c>
      <c r="D254">
        <v>2.15</v>
      </c>
      <c r="E254">
        <v>4.4400000000000004</v>
      </c>
      <c r="F254">
        <v>11.82</v>
      </c>
      <c r="G254" s="4">
        <v>7.14</v>
      </c>
      <c r="H254">
        <f t="shared" si="3"/>
        <v>4.3681164831062436</v>
      </c>
      <c r="I254">
        <v>4.3681164831062436</v>
      </c>
      <c r="J254" s="13">
        <v>472913.9</v>
      </c>
      <c r="K254">
        <v>-6.7753319949414248</v>
      </c>
      <c r="L254">
        <v>-2.243801666037859</v>
      </c>
    </row>
    <row r="255" spans="1:12" x14ac:dyDescent="0.3">
      <c r="A255" s="1">
        <v>42036</v>
      </c>
      <c r="B255">
        <v>58.28</v>
      </c>
      <c r="C255" s="15">
        <v>-2300</v>
      </c>
      <c r="D255">
        <v>-1.43</v>
      </c>
      <c r="E255">
        <v>-0.49</v>
      </c>
      <c r="F255">
        <v>12.15</v>
      </c>
      <c r="G255" s="4">
        <v>7.7</v>
      </c>
      <c r="H255">
        <f t="shared" si="3"/>
        <v>4.1318477251624852</v>
      </c>
      <c r="I255">
        <v>4.1318477251624852</v>
      </c>
      <c r="J255" s="13">
        <v>460156.7</v>
      </c>
      <c r="K255">
        <v>-3.9471371253894105</v>
      </c>
      <c r="L255">
        <v>-5.5054844533634633</v>
      </c>
    </row>
    <row r="256" spans="1:12" x14ac:dyDescent="0.3">
      <c r="A256" s="1">
        <v>42064</v>
      </c>
      <c r="B256">
        <v>59.49</v>
      </c>
      <c r="C256">
        <v>0.23899999999999999</v>
      </c>
      <c r="D256">
        <v>0.3</v>
      </c>
      <c r="E256">
        <v>0.05</v>
      </c>
      <c r="F256">
        <v>12.58</v>
      </c>
      <c r="G256" s="4">
        <v>8.1300000000000008</v>
      </c>
      <c r="H256">
        <f t="shared" si="3"/>
        <v>4.1154166281327953</v>
      </c>
      <c r="I256">
        <v>4.1154166281327953</v>
      </c>
      <c r="J256" s="13">
        <v>501752.2</v>
      </c>
      <c r="K256">
        <v>7.3424816363225176</v>
      </c>
      <c r="L256">
        <v>2.1440604424374232</v>
      </c>
    </row>
    <row r="257" spans="1:12" x14ac:dyDescent="0.3">
      <c r="A257" s="1">
        <v>42095</v>
      </c>
      <c r="B257">
        <v>59.11</v>
      </c>
      <c r="C257" s="15">
        <v>13445</v>
      </c>
      <c r="D257">
        <v>2.16</v>
      </c>
      <c r="E257">
        <v>2.7</v>
      </c>
      <c r="F257">
        <v>12.68</v>
      </c>
      <c r="G257" s="4">
        <v>8.17</v>
      </c>
      <c r="H257">
        <f t="shared" si="3"/>
        <v>4.1693630396597792</v>
      </c>
      <c r="I257">
        <v>4.1693630396597792</v>
      </c>
      <c r="J257" s="13">
        <v>486614.6</v>
      </c>
      <c r="K257">
        <v>-3.7709241600550669</v>
      </c>
      <c r="L257">
        <v>-1.5297081498597431</v>
      </c>
    </row>
    <row r="258" spans="1:12" x14ac:dyDescent="0.3">
      <c r="A258" s="1">
        <v>42125</v>
      </c>
      <c r="B258">
        <v>60.2</v>
      </c>
      <c r="C258" s="15">
        <v>-6900</v>
      </c>
      <c r="D258">
        <v>-1.75</v>
      </c>
      <c r="E258">
        <v>-1.4</v>
      </c>
      <c r="F258">
        <v>13.15</v>
      </c>
      <c r="G258" s="4">
        <v>8.4700000000000006</v>
      </c>
      <c r="H258">
        <f t="shared" si="3"/>
        <v>4.3145570203742878</v>
      </c>
      <c r="I258">
        <v>4.3145570203742878</v>
      </c>
      <c r="J258" s="13">
        <v>483239.7</v>
      </c>
      <c r="K258">
        <v>-1.4331354240088245</v>
      </c>
      <c r="L258">
        <v>-2.4391813561157383</v>
      </c>
    </row>
    <row r="259" spans="1:12" x14ac:dyDescent="0.3">
      <c r="A259" s="1">
        <v>42156</v>
      </c>
      <c r="B259">
        <v>60.75</v>
      </c>
      <c r="C259" s="15">
        <v>-9323</v>
      </c>
      <c r="D259">
        <v>-1.74</v>
      </c>
      <c r="E259">
        <v>-1.9</v>
      </c>
      <c r="F259">
        <v>13.58</v>
      </c>
      <c r="G259" s="4">
        <v>8.89</v>
      </c>
      <c r="H259">
        <f t="shared" ref="H259:H322" si="4">((1+F259/100)/(1+G259/100)-1)*100</f>
        <v>4.3070989071539945</v>
      </c>
      <c r="I259">
        <v>4.3070989071539945</v>
      </c>
      <c r="J259" s="13">
        <v>486647.5</v>
      </c>
      <c r="K259">
        <v>-8.4284803207346215E-2</v>
      </c>
      <c r="L259">
        <v>-2.1738463133563313</v>
      </c>
    </row>
    <row r="260" spans="1:12" x14ac:dyDescent="0.3">
      <c r="A260" s="1">
        <v>42186</v>
      </c>
      <c r="B260">
        <v>62.16</v>
      </c>
      <c r="C260" s="15">
        <v>-10019</v>
      </c>
      <c r="D260">
        <v>-1.22</v>
      </c>
      <c r="E260">
        <v>-1.97</v>
      </c>
      <c r="F260">
        <v>13.69</v>
      </c>
      <c r="G260" s="4">
        <v>9.56</v>
      </c>
      <c r="H260">
        <f t="shared" si="4"/>
        <v>3.7696239503468565</v>
      </c>
      <c r="I260">
        <v>3.7696239503468565</v>
      </c>
      <c r="J260" s="13">
        <v>502275.2</v>
      </c>
      <c r="K260">
        <v>2.542829453038209</v>
      </c>
      <c r="L260">
        <v>1.3845734001445731</v>
      </c>
    </row>
    <row r="261" spans="1:12" x14ac:dyDescent="0.3">
      <c r="A261" s="1">
        <v>42217</v>
      </c>
      <c r="B261">
        <v>62.97</v>
      </c>
      <c r="C261" s="15">
        <v>-7310</v>
      </c>
      <c r="D261">
        <v>-1.34</v>
      </c>
      <c r="E261">
        <v>-1.46</v>
      </c>
      <c r="F261">
        <v>14.15</v>
      </c>
      <c r="G261" s="4">
        <v>9.5299999999999994</v>
      </c>
      <c r="H261">
        <f t="shared" si="4"/>
        <v>4.2180224596001015</v>
      </c>
      <c r="I261">
        <v>4.2180224596001015</v>
      </c>
      <c r="J261" s="13">
        <v>492505.7</v>
      </c>
      <c r="K261">
        <v>-2.1839348284531823</v>
      </c>
      <c r="L261">
        <v>-0.2607494204420413</v>
      </c>
    </row>
    <row r="262" spans="1:12" x14ac:dyDescent="0.3">
      <c r="A262" s="1">
        <v>42248</v>
      </c>
      <c r="B262">
        <v>63.65</v>
      </c>
      <c r="C262" s="15">
        <v>-7318</v>
      </c>
      <c r="D262">
        <v>-1.36</v>
      </c>
      <c r="E262">
        <v>-1.46</v>
      </c>
      <c r="F262">
        <v>14.15</v>
      </c>
      <c r="G262" s="4">
        <v>9.49</v>
      </c>
      <c r="H262">
        <f t="shared" si="4"/>
        <v>4.2560964471641149</v>
      </c>
      <c r="I262">
        <v>4.2560964471641149</v>
      </c>
      <c r="J262" s="13">
        <v>496004.7</v>
      </c>
      <c r="K262">
        <v>0.16943331197563083</v>
      </c>
      <c r="L262">
        <v>-0.19410204136254272</v>
      </c>
    </row>
    <row r="263" spans="1:12" x14ac:dyDescent="0.3">
      <c r="A263" s="1">
        <v>42278</v>
      </c>
      <c r="B263">
        <v>63.93</v>
      </c>
      <c r="C263" s="15">
        <v>-11530</v>
      </c>
      <c r="D263">
        <v>-2.38</v>
      </c>
      <c r="E263">
        <v>-2.21</v>
      </c>
      <c r="F263">
        <v>14.15</v>
      </c>
      <c r="G263" s="4">
        <v>9.93</v>
      </c>
      <c r="H263">
        <f t="shared" si="4"/>
        <v>3.838806513235693</v>
      </c>
      <c r="I263">
        <v>3.838806513235693</v>
      </c>
      <c r="J263" s="13">
        <v>518828.9</v>
      </c>
      <c r="K263">
        <v>3.6823322409036408</v>
      </c>
      <c r="L263">
        <v>4.2203339356774006</v>
      </c>
    </row>
    <row r="264" spans="1:12" x14ac:dyDescent="0.3">
      <c r="A264" s="1">
        <v>42309</v>
      </c>
      <c r="B264">
        <v>64.28</v>
      </c>
      <c r="C264" s="15">
        <v>-19560</v>
      </c>
      <c r="D264">
        <v>-4.21</v>
      </c>
      <c r="E264">
        <v>-3.81</v>
      </c>
      <c r="F264">
        <v>14.15</v>
      </c>
      <c r="G264" s="4">
        <v>10.48</v>
      </c>
      <c r="H264">
        <f t="shared" si="4"/>
        <v>3.3218682114409814</v>
      </c>
      <c r="I264">
        <v>3.3218682114409814</v>
      </c>
      <c r="J264" s="13">
        <v>513819.8</v>
      </c>
      <c r="K264">
        <v>-1.975085054305481</v>
      </c>
      <c r="L264">
        <v>2.5201020924515705</v>
      </c>
    </row>
    <row r="265" spans="1:12" x14ac:dyDescent="0.3">
      <c r="A265" s="1">
        <v>42339</v>
      </c>
      <c r="B265">
        <v>65.5</v>
      </c>
      <c r="C265" s="15">
        <v>-71729</v>
      </c>
      <c r="D265">
        <v>-11.8</v>
      </c>
      <c r="E265">
        <v>-13.92</v>
      </c>
      <c r="F265">
        <v>14.15</v>
      </c>
      <c r="G265" s="4">
        <v>10.67</v>
      </c>
      <c r="H265">
        <f t="shared" si="4"/>
        <v>3.1444835998915677</v>
      </c>
      <c r="I265">
        <v>3.1444835998915677</v>
      </c>
      <c r="J265" s="13">
        <v>521918.7</v>
      </c>
      <c r="K265">
        <v>0.60859569516065193</v>
      </c>
      <c r="L265">
        <v>3.0510063185233749</v>
      </c>
    </row>
    <row r="266" spans="1:12" x14ac:dyDescent="0.3">
      <c r="A266" s="1">
        <v>42370</v>
      </c>
      <c r="B266">
        <v>66.510000000000005</v>
      </c>
      <c r="C266" s="15">
        <v>27913</v>
      </c>
      <c r="D266">
        <v>4.3600000000000003</v>
      </c>
      <c r="E266">
        <v>5.78</v>
      </c>
      <c r="F266">
        <v>14.15</v>
      </c>
      <c r="G266" s="4">
        <v>10.71</v>
      </c>
      <c r="H266">
        <f t="shared" si="4"/>
        <v>3.1072170535633603</v>
      </c>
      <c r="I266">
        <v>3.1072170535633603</v>
      </c>
      <c r="J266" s="13">
        <v>490284</v>
      </c>
      <c r="K266">
        <v>-7.5146328712255794</v>
      </c>
      <c r="L266">
        <v>-4.4161102851432492</v>
      </c>
    </row>
    <row r="267" spans="1:12" x14ac:dyDescent="0.3">
      <c r="A267" s="1">
        <v>42401</v>
      </c>
      <c r="B267">
        <v>66.66</v>
      </c>
      <c r="C267" s="15">
        <v>-23040</v>
      </c>
      <c r="D267">
        <v>-5.39</v>
      </c>
      <c r="E267">
        <v>-4.7</v>
      </c>
      <c r="F267">
        <v>14.15</v>
      </c>
      <c r="G267" s="4">
        <v>10.36</v>
      </c>
      <c r="H267">
        <f t="shared" si="4"/>
        <v>3.4342152953968919</v>
      </c>
      <c r="I267">
        <v>3.4342152953968919</v>
      </c>
      <c r="J267" s="13">
        <v>491011.7</v>
      </c>
      <c r="K267">
        <v>-0.74761491188333196</v>
      </c>
      <c r="L267">
        <v>-4.9391413019422403</v>
      </c>
    </row>
    <row r="268" spans="1:12" x14ac:dyDescent="0.3">
      <c r="A268" s="1">
        <v>42430</v>
      </c>
      <c r="B268">
        <v>66.33</v>
      </c>
      <c r="C268" s="15">
        <v>-10644</v>
      </c>
      <c r="D268">
        <v>-1.68</v>
      </c>
      <c r="E268">
        <v>-2.02</v>
      </c>
      <c r="F268">
        <v>14.15</v>
      </c>
      <c r="G268" s="4">
        <v>9.39</v>
      </c>
      <c r="H268">
        <f t="shared" si="4"/>
        <v>4.3514032361275934</v>
      </c>
      <c r="I268">
        <v>4.3514032361275934</v>
      </c>
      <c r="J268" s="13">
        <v>516985.9</v>
      </c>
      <c r="K268">
        <v>4.7257313362580433</v>
      </c>
      <c r="L268">
        <v>5.2963369312997166E-2</v>
      </c>
    </row>
    <row r="269" spans="1:12" x14ac:dyDescent="0.3">
      <c r="A269" s="1">
        <v>42461</v>
      </c>
      <c r="B269">
        <v>66.62</v>
      </c>
      <c r="C269" s="15">
        <v>10182</v>
      </c>
      <c r="D269">
        <v>1.67</v>
      </c>
      <c r="E269">
        <v>1.96</v>
      </c>
      <c r="F269">
        <v>14.15</v>
      </c>
      <c r="G269" s="4">
        <v>9.2799999999999994</v>
      </c>
      <c r="H269">
        <f t="shared" si="4"/>
        <v>4.4564421669106791</v>
      </c>
      <c r="I269">
        <v>4.4564421669106791</v>
      </c>
      <c r="J269" s="13">
        <v>508058.7</v>
      </c>
      <c r="K269">
        <v>-2.3500809963264757</v>
      </c>
      <c r="L269">
        <v>-2.0689399608959769</v>
      </c>
    </row>
    <row r="270" spans="1:12" x14ac:dyDescent="0.3">
      <c r="A270" s="1">
        <v>42491</v>
      </c>
      <c r="B270">
        <v>67.59</v>
      </c>
      <c r="C270" s="15">
        <v>-18125</v>
      </c>
      <c r="D270">
        <v>-3.42</v>
      </c>
      <c r="E270">
        <v>-3.51</v>
      </c>
      <c r="F270">
        <v>14.15</v>
      </c>
      <c r="G270" s="4">
        <v>9.32</v>
      </c>
      <c r="H270">
        <f t="shared" si="4"/>
        <v>4.4182217343578412</v>
      </c>
      <c r="I270">
        <v>4.4182217343578412</v>
      </c>
      <c r="J270" s="13">
        <v>513267.5</v>
      </c>
      <c r="K270">
        <v>0.24314041829782695</v>
      </c>
      <c r="L270">
        <v>-1.5581039904000837</v>
      </c>
    </row>
    <row r="271" spans="1:12" x14ac:dyDescent="0.3">
      <c r="A271" s="1">
        <v>42522</v>
      </c>
      <c r="B271">
        <v>67.510000000000005</v>
      </c>
      <c r="C271" s="15">
        <v>-10061</v>
      </c>
      <c r="D271">
        <v>-1.99</v>
      </c>
      <c r="E271">
        <v>-1.93</v>
      </c>
      <c r="F271">
        <v>14.15</v>
      </c>
      <c r="G271" s="4">
        <v>8.84</v>
      </c>
      <c r="H271">
        <f t="shared" si="4"/>
        <v>4.8787210584343876</v>
      </c>
      <c r="I271">
        <v>4.8787210584343876</v>
      </c>
      <c r="J271" s="13">
        <v>536459.30000000005</v>
      </c>
      <c r="K271">
        <v>4.0700360559620563</v>
      </c>
      <c r="L271">
        <v>2.3182284494315697</v>
      </c>
    </row>
    <row r="272" spans="1:12" x14ac:dyDescent="0.3">
      <c r="A272" s="1">
        <v>42552</v>
      </c>
      <c r="B272">
        <v>68.7</v>
      </c>
      <c r="C272" s="15">
        <v>-12816</v>
      </c>
      <c r="D272">
        <v>-2.2799999999999998</v>
      </c>
      <c r="E272">
        <v>-2.4500000000000002</v>
      </c>
      <c r="F272">
        <v>14.15</v>
      </c>
      <c r="G272" s="4">
        <v>8.74</v>
      </c>
      <c r="H272">
        <f t="shared" si="4"/>
        <v>4.9751701305867257</v>
      </c>
      <c r="I272">
        <v>4.9751701305867257</v>
      </c>
      <c r="J272" s="13">
        <v>532947.80000000005</v>
      </c>
      <c r="K272">
        <v>-1.1754532002358431</v>
      </c>
      <c r="L272">
        <v>1.5641485552651657</v>
      </c>
    </row>
    <row r="273" spans="1:12" x14ac:dyDescent="0.3">
      <c r="A273" s="1">
        <v>42583</v>
      </c>
      <c r="B273">
        <v>69.33</v>
      </c>
      <c r="C273" s="15">
        <v>-22267</v>
      </c>
      <c r="D273">
        <v>-4.1500000000000004</v>
      </c>
      <c r="E273">
        <v>-4.2</v>
      </c>
      <c r="F273">
        <v>14.15</v>
      </c>
      <c r="G273" s="4">
        <v>8.9700000000000006</v>
      </c>
      <c r="H273">
        <f t="shared" si="4"/>
        <v>4.7536019087822234</v>
      </c>
      <c r="I273">
        <v>4.7536019087822234</v>
      </c>
      <c r="J273" s="13">
        <v>534761.80000000005</v>
      </c>
      <c r="K273">
        <v>-9.9234219855048877E-2</v>
      </c>
      <c r="L273">
        <v>1.5235046291402821</v>
      </c>
    </row>
    <row r="274" spans="1:12" x14ac:dyDescent="0.3">
      <c r="A274" s="1">
        <v>42614</v>
      </c>
      <c r="B274">
        <v>69.98</v>
      </c>
      <c r="C274" s="15">
        <v>-26643</v>
      </c>
      <c r="D274">
        <v>-5.0599999999999996</v>
      </c>
      <c r="E274">
        <v>-5.08</v>
      </c>
      <c r="F274">
        <v>14.15</v>
      </c>
      <c r="G274" s="4">
        <v>8.48</v>
      </c>
      <c r="H274">
        <f t="shared" si="4"/>
        <v>5.2267699115044142</v>
      </c>
      <c r="I274">
        <v>5.2267699115044142</v>
      </c>
      <c r="J274" s="13">
        <v>509975</v>
      </c>
      <c r="K274">
        <v>-4.8259517622463832</v>
      </c>
      <c r="L274">
        <v>-3.6556106519060272</v>
      </c>
    </row>
    <row r="275" spans="1:12" x14ac:dyDescent="0.3">
      <c r="A275" s="1">
        <v>42644</v>
      </c>
      <c r="B275">
        <v>69.78</v>
      </c>
      <c r="C275" s="15">
        <v>39589</v>
      </c>
      <c r="D275">
        <v>7.29</v>
      </c>
      <c r="E275">
        <v>7.33</v>
      </c>
      <c r="F275">
        <v>14.05</v>
      </c>
      <c r="G275" s="4">
        <v>7.87</v>
      </c>
      <c r="H275">
        <f t="shared" si="4"/>
        <v>5.7291183832390846</v>
      </c>
      <c r="I275">
        <v>5.7291183832390846</v>
      </c>
      <c r="J275" s="13">
        <v>525162.69999999995</v>
      </c>
      <c r="K275">
        <v>2.6748816119095409</v>
      </c>
      <c r="L275">
        <v>-0.8153808012989594</v>
      </c>
    </row>
    <row r="276" spans="1:12" x14ac:dyDescent="0.3">
      <c r="A276" s="1">
        <v>42675</v>
      </c>
      <c r="B276">
        <v>70.84</v>
      </c>
      <c r="C276" s="15">
        <v>-39141</v>
      </c>
      <c r="D276">
        <v>-7.27</v>
      </c>
      <c r="E276">
        <v>-7.17</v>
      </c>
      <c r="F276">
        <v>13.9</v>
      </c>
      <c r="G276" s="4">
        <v>6.99</v>
      </c>
      <c r="H276">
        <f t="shared" si="4"/>
        <v>6.4585475278063242</v>
      </c>
      <c r="I276">
        <v>6.4585475278063242</v>
      </c>
      <c r="J276" s="13">
        <v>541530.69999999995</v>
      </c>
      <c r="K276">
        <v>2.8892238892876065</v>
      </c>
      <c r="L276">
        <v>1.8242845770625404</v>
      </c>
    </row>
    <row r="277" spans="1:12" x14ac:dyDescent="0.3">
      <c r="A277" s="1">
        <v>42705</v>
      </c>
      <c r="B277">
        <v>69.84</v>
      </c>
      <c r="C277" s="15">
        <v>-70737</v>
      </c>
      <c r="D277">
        <v>-11.73</v>
      </c>
      <c r="E277">
        <v>-12.93</v>
      </c>
      <c r="F277">
        <v>13.65</v>
      </c>
      <c r="G277" s="4">
        <v>6.29</v>
      </c>
      <c r="H277">
        <f t="shared" si="4"/>
        <v>6.9244519710226937</v>
      </c>
      <c r="I277">
        <v>6.9244519710226937</v>
      </c>
      <c r="J277" s="13">
        <v>565780.5</v>
      </c>
      <c r="K277">
        <v>4.0811817632629754</v>
      </c>
      <c r="L277">
        <v>5.6701159538497192</v>
      </c>
    </row>
    <row r="278" spans="1:12" x14ac:dyDescent="0.3">
      <c r="A278" s="1">
        <v>42736</v>
      </c>
      <c r="B278">
        <v>69.81</v>
      </c>
      <c r="C278" s="15">
        <v>36712</v>
      </c>
      <c r="D278">
        <v>5.14</v>
      </c>
      <c r="E278">
        <v>7.13</v>
      </c>
      <c r="F278">
        <v>13.17</v>
      </c>
      <c r="G278" s="4">
        <v>5.35</v>
      </c>
      <c r="H278">
        <f t="shared" si="4"/>
        <v>7.422876127195055</v>
      </c>
      <c r="I278">
        <v>7.422876127195055</v>
      </c>
      <c r="J278" s="13">
        <v>526564.69999999995</v>
      </c>
      <c r="K278">
        <v>-7.5625269149103502</v>
      </c>
      <c r="L278">
        <v>-2.0762633371563033</v>
      </c>
    </row>
    <row r="279" spans="1:12" x14ac:dyDescent="0.3">
      <c r="A279" s="1">
        <v>42767</v>
      </c>
      <c r="B279">
        <v>70.39</v>
      </c>
      <c r="C279" s="15">
        <v>-23468</v>
      </c>
      <c r="D279">
        <v>-5.65</v>
      </c>
      <c r="E279">
        <v>-4.5999999999999996</v>
      </c>
      <c r="F279">
        <v>12.82</v>
      </c>
      <c r="G279" s="4">
        <v>4.76</v>
      </c>
      <c r="H279">
        <f t="shared" si="4"/>
        <v>7.6937762504772911</v>
      </c>
      <c r="I279">
        <v>7.6937762504772911</v>
      </c>
      <c r="J279" s="13">
        <v>514120.5</v>
      </c>
      <c r="K279">
        <v>-2.7211165520744984</v>
      </c>
      <c r="L279">
        <v>-4.8009994973709276</v>
      </c>
    </row>
    <row r="280" spans="1:12" x14ac:dyDescent="0.3">
      <c r="A280" s="1">
        <v>42795</v>
      </c>
      <c r="B280">
        <v>71.239999999999995</v>
      </c>
      <c r="C280" s="15">
        <v>-11047</v>
      </c>
      <c r="D280">
        <v>-2.09</v>
      </c>
      <c r="E280">
        <v>-1.97</v>
      </c>
      <c r="F280">
        <v>12.15</v>
      </c>
      <c r="G280" s="4">
        <v>4.57</v>
      </c>
      <c r="H280">
        <f t="shared" si="4"/>
        <v>7.2487329061872385</v>
      </c>
      <c r="I280">
        <v>7.2487329061872385</v>
      </c>
      <c r="J280" s="13">
        <v>544312.9</v>
      </c>
      <c r="K280">
        <v>5.4570577227620376</v>
      </c>
      <c r="L280">
        <v>0.82119722802709294</v>
      </c>
    </row>
    <row r="281" spans="1:12" x14ac:dyDescent="0.3">
      <c r="A281" s="1">
        <v>42826</v>
      </c>
      <c r="B281">
        <v>71.38</v>
      </c>
      <c r="C281" s="15">
        <v>12908</v>
      </c>
      <c r="D281">
        <v>2.17</v>
      </c>
      <c r="E281">
        <v>2.4</v>
      </c>
      <c r="F281">
        <v>11.59</v>
      </c>
      <c r="G281" s="4">
        <v>4.08</v>
      </c>
      <c r="H281">
        <f t="shared" si="4"/>
        <v>7.2156033820138354</v>
      </c>
      <c r="I281">
        <v>7.2156033820138354</v>
      </c>
      <c r="J281" s="13">
        <v>525238.1</v>
      </c>
      <c r="K281">
        <v>-3.7071526847181957</v>
      </c>
      <c r="L281">
        <v>-3.1776261072647305</v>
      </c>
    </row>
    <row r="282" spans="1:12" x14ac:dyDescent="0.3">
      <c r="A282" s="1">
        <v>42856</v>
      </c>
      <c r="B282">
        <v>72.33</v>
      </c>
      <c r="C282" s="15">
        <v>-30736</v>
      </c>
      <c r="D282">
        <v>-5.81</v>
      </c>
      <c r="E282">
        <v>-5.58</v>
      </c>
      <c r="F282">
        <v>11.15</v>
      </c>
      <c r="G282" s="4">
        <v>3.6</v>
      </c>
      <c r="H282">
        <f t="shared" si="4"/>
        <v>7.287644787644787</v>
      </c>
      <c r="I282">
        <v>7.287644787644787</v>
      </c>
      <c r="J282" s="13">
        <v>548887.69999999995</v>
      </c>
      <c r="K282">
        <v>4.0946599282047913</v>
      </c>
      <c r="L282">
        <v>0.51281080354728115</v>
      </c>
    </row>
    <row r="283" spans="1:12" x14ac:dyDescent="0.3">
      <c r="A283" s="1">
        <v>42887</v>
      </c>
      <c r="B283">
        <v>72.739999999999995</v>
      </c>
      <c r="C283" s="15">
        <v>-19552</v>
      </c>
      <c r="D283">
        <v>-3.67</v>
      </c>
      <c r="E283">
        <v>-3.6</v>
      </c>
      <c r="F283">
        <v>10.15</v>
      </c>
      <c r="G283" s="4">
        <v>3</v>
      </c>
      <c r="H283">
        <f t="shared" si="4"/>
        <v>6.9417475728155154</v>
      </c>
      <c r="I283">
        <v>6.9417475728155154</v>
      </c>
      <c r="J283" s="13">
        <v>556787.6</v>
      </c>
      <c r="K283">
        <v>1.6592653358365794</v>
      </c>
      <c r="L283">
        <v>1.7746309004534222</v>
      </c>
    </row>
    <row r="284" spans="1:12" x14ac:dyDescent="0.3">
      <c r="A284" s="1">
        <v>42917</v>
      </c>
      <c r="B284">
        <v>73.180000000000007</v>
      </c>
      <c r="C284" s="15">
        <v>-16100</v>
      </c>
      <c r="D284">
        <v>-2.5299999999999998</v>
      </c>
      <c r="E284">
        <v>-2.94</v>
      </c>
      <c r="F284">
        <v>10.01</v>
      </c>
      <c r="G284" s="4">
        <v>2.71</v>
      </c>
      <c r="H284">
        <f t="shared" si="4"/>
        <v>7.1073897380975692</v>
      </c>
      <c r="I284">
        <v>7.1073897380975692</v>
      </c>
      <c r="J284" s="13">
        <v>557458.19999999995</v>
      </c>
      <c r="K284">
        <v>-0.11939671637684057</v>
      </c>
      <c r="L284">
        <v>2.0540001766279348</v>
      </c>
    </row>
    <row r="285" spans="1:12" x14ac:dyDescent="0.3">
      <c r="A285" s="1">
        <v>42948</v>
      </c>
      <c r="B285">
        <v>73.62</v>
      </c>
      <c r="C285" s="15">
        <v>-9529</v>
      </c>
      <c r="D285">
        <v>-1.77</v>
      </c>
      <c r="E285">
        <v>-1.71</v>
      </c>
      <c r="F285">
        <v>9.15</v>
      </c>
      <c r="G285" s="9">
        <v>2.46</v>
      </c>
      <c r="H285">
        <f t="shared" si="4"/>
        <v>6.5293773179777359</v>
      </c>
      <c r="I285">
        <v>6.5293773179777359</v>
      </c>
      <c r="J285" s="13">
        <v>555578.69999999995</v>
      </c>
      <c r="K285">
        <v>-0.52747561130228604</v>
      </c>
      <c r="L285">
        <v>1.7194722848392852</v>
      </c>
    </row>
    <row r="286" spans="1:12" x14ac:dyDescent="0.3">
      <c r="A286" s="1">
        <v>42979</v>
      </c>
      <c r="B286">
        <v>73.709999999999994</v>
      </c>
      <c r="C286" s="15">
        <v>-21259</v>
      </c>
      <c r="D286">
        <v>-4.07</v>
      </c>
      <c r="E286">
        <v>-3.91</v>
      </c>
      <c r="F286">
        <v>8.35</v>
      </c>
      <c r="G286" s="9">
        <v>2.54</v>
      </c>
      <c r="H286">
        <f t="shared" si="4"/>
        <v>5.6660815291593281</v>
      </c>
      <c r="I286">
        <v>5.6660815291593281</v>
      </c>
      <c r="J286" s="13">
        <v>528871.19999999995</v>
      </c>
      <c r="K286">
        <v>-5.0863060097677604</v>
      </c>
      <c r="L286">
        <v>-3.7355413590300923</v>
      </c>
    </row>
    <row r="287" spans="1:12" x14ac:dyDescent="0.3">
      <c r="A287" s="1">
        <v>43009</v>
      </c>
      <c r="B287">
        <v>74.12</v>
      </c>
      <c r="C287" s="15">
        <v>4758</v>
      </c>
      <c r="D287">
        <v>0.87</v>
      </c>
      <c r="E287">
        <v>0.84</v>
      </c>
      <c r="F287">
        <v>8.01</v>
      </c>
      <c r="G287" s="9">
        <v>2.7</v>
      </c>
      <c r="H287">
        <f t="shared" si="4"/>
        <v>5.1703992210321514</v>
      </c>
      <c r="I287">
        <v>5.1703992210321514</v>
      </c>
      <c r="J287" s="13">
        <v>549304.69999999995</v>
      </c>
      <c r="K287">
        <v>3.3716243322603034</v>
      </c>
      <c r="L287">
        <v>-0.42395219850995813</v>
      </c>
    </row>
    <row r="288" spans="1:12" x14ac:dyDescent="0.3">
      <c r="A288" s="1">
        <v>43040</v>
      </c>
      <c r="B288">
        <v>74.03</v>
      </c>
      <c r="C288">
        <v>-0.90900000000000003</v>
      </c>
      <c r="D288">
        <v>-0.05</v>
      </c>
      <c r="E288">
        <v>-0.16</v>
      </c>
      <c r="F288">
        <v>7.4</v>
      </c>
      <c r="G288" s="9">
        <v>2.8</v>
      </c>
      <c r="H288">
        <f t="shared" si="4"/>
        <v>4.474708171206232</v>
      </c>
      <c r="I288">
        <v>4.474708171206232</v>
      </c>
      <c r="J288" s="13">
        <v>566209.30000000005</v>
      </c>
      <c r="K288">
        <v>2.7513903142205365</v>
      </c>
      <c r="L288">
        <v>2.282429338627745</v>
      </c>
    </row>
    <row r="289" spans="1:12" x14ac:dyDescent="0.3">
      <c r="A289" s="1">
        <v>43070</v>
      </c>
      <c r="B289">
        <v>73.72</v>
      </c>
      <c r="C289" s="15">
        <v>-32321</v>
      </c>
      <c r="D289">
        <v>-3.83</v>
      </c>
      <c r="E289">
        <v>-5.59</v>
      </c>
      <c r="F289">
        <v>7</v>
      </c>
      <c r="G289" s="9">
        <v>2.95</v>
      </c>
      <c r="H289">
        <f t="shared" si="4"/>
        <v>3.9339485186983936</v>
      </c>
      <c r="I289">
        <v>3.9339485186983936</v>
      </c>
      <c r="J289" s="13">
        <v>588892.80000000005</v>
      </c>
      <c r="K289">
        <v>3.4889539162653804</v>
      </c>
      <c r="L289">
        <v>5.7852575268676043</v>
      </c>
    </row>
    <row r="290" spans="1:12" x14ac:dyDescent="0.3">
      <c r="A290" s="1">
        <v>43101</v>
      </c>
      <c r="B290">
        <v>74.040000000000006</v>
      </c>
      <c r="C290" s="15">
        <v>46940</v>
      </c>
      <c r="D290">
        <v>6.64</v>
      </c>
      <c r="E290">
        <v>8.49</v>
      </c>
      <c r="F290">
        <v>6.9</v>
      </c>
      <c r="G290" s="9">
        <v>2.86</v>
      </c>
      <c r="H290">
        <f t="shared" si="4"/>
        <v>3.9276686758701107</v>
      </c>
      <c r="I290">
        <v>3.9276686758701107</v>
      </c>
      <c r="J290" s="13">
        <v>555644.6</v>
      </c>
      <c r="K290">
        <v>-6.1011545134723733</v>
      </c>
      <c r="L290">
        <v>-0.47457928028621366</v>
      </c>
    </row>
    <row r="291" spans="1:12" x14ac:dyDescent="0.3">
      <c r="A291" s="1">
        <v>43132</v>
      </c>
      <c r="B291">
        <v>74.510000000000005</v>
      </c>
      <c r="C291" s="15">
        <v>-17400</v>
      </c>
      <c r="D291">
        <v>-3.52</v>
      </c>
      <c r="E291">
        <v>-3.23</v>
      </c>
      <c r="F291">
        <v>6.72</v>
      </c>
      <c r="G291" s="9">
        <v>2.84</v>
      </c>
      <c r="H291">
        <f t="shared" si="4"/>
        <v>3.7728510307273311</v>
      </c>
      <c r="I291">
        <v>3.7728510307273311</v>
      </c>
      <c r="J291" s="13">
        <v>528905.5</v>
      </c>
      <c r="K291">
        <v>-5.25143380427604</v>
      </c>
      <c r="L291">
        <v>-5.5766439032417185</v>
      </c>
    </row>
    <row r="292" spans="1:12" x14ac:dyDescent="0.3">
      <c r="A292" s="1">
        <v>43160</v>
      </c>
      <c r="B292">
        <v>74.599999999999994</v>
      </c>
      <c r="C292" s="15">
        <v>-25135</v>
      </c>
      <c r="D292">
        <v>-4.34</v>
      </c>
      <c r="E292">
        <v>-4.2699999999999996</v>
      </c>
      <c r="F292">
        <v>6.58</v>
      </c>
      <c r="G292" s="9">
        <v>2.68</v>
      </c>
      <c r="H292">
        <f t="shared" si="4"/>
        <v>3.7982080249318484</v>
      </c>
      <c r="I292">
        <v>3.7982080249318484</v>
      </c>
      <c r="J292" s="13">
        <v>560120.69999999995</v>
      </c>
      <c r="K292">
        <v>5.6443297682685412</v>
      </c>
      <c r="L292">
        <v>0.23958269542558863</v>
      </c>
    </row>
    <row r="293" spans="1:12" x14ac:dyDescent="0.3">
      <c r="A293" s="1">
        <v>43191</v>
      </c>
      <c r="B293">
        <v>74.959999999999994</v>
      </c>
      <c r="C293" s="15">
        <v>2900</v>
      </c>
      <c r="D293">
        <v>0.93</v>
      </c>
      <c r="E293">
        <v>0.49</v>
      </c>
      <c r="F293">
        <v>6.4</v>
      </c>
      <c r="G293" s="9">
        <v>2.76</v>
      </c>
      <c r="H293">
        <f t="shared" si="4"/>
        <v>3.5422343324250649</v>
      </c>
      <c r="I293">
        <v>3.5422343324250649</v>
      </c>
      <c r="J293" s="13">
        <v>559359.80000000005</v>
      </c>
      <c r="K293">
        <v>-0.35565430722961366</v>
      </c>
      <c r="L293">
        <v>-0.60328615335838442</v>
      </c>
    </row>
    <row r="294" spans="1:12" x14ac:dyDescent="0.3">
      <c r="A294" s="1">
        <v>43221</v>
      </c>
      <c r="B294">
        <v>76.12</v>
      </c>
      <c r="C294" s="15">
        <v>-8200</v>
      </c>
      <c r="D294">
        <v>-1.97</v>
      </c>
      <c r="E294">
        <v>-1.46</v>
      </c>
      <c r="F294">
        <v>6.4</v>
      </c>
      <c r="G294" s="9">
        <v>2.86</v>
      </c>
      <c r="H294">
        <f t="shared" si="4"/>
        <v>3.4415710674703615</v>
      </c>
      <c r="I294">
        <v>3.4415710674703615</v>
      </c>
      <c r="J294" s="13">
        <v>547016.5</v>
      </c>
      <c r="K294">
        <v>-2.6306500185024007</v>
      </c>
      <c r="L294">
        <v>-3.4513638384371603</v>
      </c>
    </row>
    <row r="295" spans="1:12" x14ac:dyDescent="0.3">
      <c r="A295" s="1">
        <v>43252</v>
      </c>
      <c r="B295">
        <v>76.13</v>
      </c>
      <c r="C295" s="15">
        <v>-13491</v>
      </c>
      <c r="D295">
        <v>-2.5499999999999998</v>
      </c>
      <c r="E295">
        <v>-2.31</v>
      </c>
      <c r="F295">
        <v>6.4</v>
      </c>
      <c r="G295" s="9">
        <v>4.3899999999999997</v>
      </c>
      <c r="H295">
        <f t="shared" si="4"/>
        <v>1.9254717884854777</v>
      </c>
      <c r="I295">
        <v>1.9254717884854777</v>
      </c>
      <c r="J295" s="13">
        <v>580697.80000000005</v>
      </c>
      <c r="K295">
        <v>4.7230096829686374</v>
      </c>
      <c r="L295">
        <v>1.0418044971704843</v>
      </c>
    </row>
    <row r="296" spans="1:12" x14ac:dyDescent="0.3">
      <c r="A296" s="1">
        <v>43282</v>
      </c>
      <c r="B296">
        <v>75.95</v>
      </c>
      <c r="C296" s="15">
        <v>-3401</v>
      </c>
      <c r="D296">
        <v>-0.43</v>
      </c>
      <c r="E296">
        <v>-0.56999999999999995</v>
      </c>
      <c r="F296">
        <v>6.4</v>
      </c>
      <c r="G296" s="9">
        <v>4.4800000000000004</v>
      </c>
      <c r="H296">
        <f t="shared" si="4"/>
        <v>1.8376722817764257</v>
      </c>
      <c r="I296">
        <v>1.8376722817764257</v>
      </c>
      <c r="J296" s="13">
        <v>583054.80000000005</v>
      </c>
      <c r="K296">
        <v>7.5547923882801626E-2</v>
      </c>
      <c r="L296">
        <v>1.579954662982419</v>
      </c>
    </row>
    <row r="297" spans="1:12" x14ac:dyDescent="0.3">
      <c r="A297" s="1">
        <v>43313</v>
      </c>
      <c r="B297">
        <v>76.02</v>
      </c>
      <c r="C297" s="15">
        <v>-16876</v>
      </c>
      <c r="D297">
        <v>-3.49</v>
      </c>
      <c r="E297">
        <v>-2.82</v>
      </c>
      <c r="F297">
        <v>6.4</v>
      </c>
      <c r="G297" s="9">
        <v>4.1900000000000004</v>
      </c>
      <c r="H297">
        <f t="shared" si="4"/>
        <v>2.1211248680295558</v>
      </c>
      <c r="I297">
        <v>2.1211248680295558</v>
      </c>
      <c r="J297" s="13">
        <v>582756.69999999995</v>
      </c>
      <c r="K297">
        <v>3.8801318462056145E-2</v>
      </c>
      <c r="L297">
        <v>1.7687864176196166</v>
      </c>
    </row>
    <row r="298" spans="1:12" x14ac:dyDescent="0.3">
      <c r="A298" s="1">
        <v>43344</v>
      </c>
      <c r="B298">
        <v>75.989999999999995</v>
      </c>
      <c r="C298" s="15">
        <v>-24621</v>
      </c>
      <c r="D298">
        <v>-4.21</v>
      </c>
      <c r="E298">
        <v>-4.2699999999999996</v>
      </c>
      <c r="F298">
        <v>6.4</v>
      </c>
      <c r="G298" s="9">
        <v>4.53</v>
      </c>
      <c r="H298">
        <f t="shared" si="4"/>
        <v>1.7889601071462868</v>
      </c>
      <c r="I298">
        <v>1.7889601071462868</v>
      </c>
      <c r="J298" s="13">
        <v>556776.6</v>
      </c>
      <c r="K298">
        <v>-5.0393916652545556</v>
      </c>
      <c r="L298">
        <v>-3.5562079932839663</v>
      </c>
    </row>
    <row r="299" spans="1:12" x14ac:dyDescent="0.3">
      <c r="A299" s="1">
        <v>43374</v>
      </c>
      <c r="B299">
        <v>75.290000000000006</v>
      </c>
      <c r="C299" s="15">
        <v>7798</v>
      </c>
      <c r="D299">
        <v>1.72</v>
      </c>
      <c r="E299">
        <v>1.27</v>
      </c>
      <c r="F299">
        <v>6.4</v>
      </c>
      <c r="G299" s="9">
        <v>4.5599999999999996</v>
      </c>
      <c r="H299">
        <f t="shared" si="4"/>
        <v>1.7597551644988441</v>
      </c>
      <c r="I299">
        <v>1.7597551644988441</v>
      </c>
      <c r="J299" s="13">
        <v>591983.9</v>
      </c>
      <c r="K299">
        <v>5.6826182843538575</v>
      </c>
      <c r="L299">
        <v>2.0322323625600935</v>
      </c>
    </row>
    <row r="300" spans="1:12" x14ac:dyDescent="0.3">
      <c r="A300" s="1">
        <v>43405</v>
      </c>
      <c r="B300">
        <v>75.680000000000007</v>
      </c>
      <c r="C300" s="15">
        <v>-15602</v>
      </c>
      <c r="D300">
        <v>-2.8</v>
      </c>
      <c r="E300">
        <v>-2.57</v>
      </c>
      <c r="F300">
        <v>6.4</v>
      </c>
      <c r="G300" s="9">
        <v>4.05</v>
      </c>
      <c r="H300">
        <f t="shared" si="4"/>
        <v>2.2585295530994864</v>
      </c>
      <c r="I300">
        <v>2.2585295530994864</v>
      </c>
      <c r="J300" s="13">
        <v>593926.9</v>
      </c>
      <c r="K300">
        <v>0.53794593219080866</v>
      </c>
      <c r="L300">
        <v>2.3587574426454427</v>
      </c>
    </row>
    <row r="301" spans="1:12" ht="15" thickBot="1" x14ac:dyDescent="0.35">
      <c r="A301" s="1">
        <v>43435</v>
      </c>
      <c r="B301">
        <v>75.27</v>
      </c>
      <c r="C301" s="15">
        <v>-41133</v>
      </c>
      <c r="D301">
        <v>-5.49</v>
      </c>
      <c r="E301">
        <v>-6.85</v>
      </c>
      <c r="F301">
        <v>6.4</v>
      </c>
      <c r="G301" s="10">
        <v>3.75</v>
      </c>
      <c r="H301">
        <f t="shared" si="4"/>
        <v>2.5542168674698829</v>
      </c>
      <c r="I301">
        <v>2.5542168674698829</v>
      </c>
      <c r="J301" s="13">
        <v>603155.19999999995</v>
      </c>
      <c r="K301">
        <v>1.3919312588228649</v>
      </c>
      <c r="L301">
        <v>3.4488497074196101</v>
      </c>
    </row>
    <row r="302" spans="1:12" ht="15" thickTop="1" x14ac:dyDescent="0.3">
      <c r="A302" s="1">
        <v>43466</v>
      </c>
      <c r="B302">
        <v>75.430000000000007</v>
      </c>
      <c r="C302" s="15">
        <v>46900</v>
      </c>
      <c r="D302">
        <v>6.14</v>
      </c>
      <c r="E302">
        <v>8.1</v>
      </c>
      <c r="F302">
        <v>6.4</v>
      </c>
      <c r="G302" s="9">
        <v>3.78</v>
      </c>
      <c r="H302">
        <f t="shared" si="4"/>
        <v>2.5245712083252991</v>
      </c>
      <c r="I302">
        <v>2.5245712083252991</v>
      </c>
      <c r="J302" s="13">
        <v>578452.6</v>
      </c>
      <c r="K302">
        <v>-4.5012445561074088</v>
      </c>
      <c r="L302">
        <v>-1.4302372941585872</v>
      </c>
    </row>
    <row r="303" spans="1:12" x14ac:dyDescent="0.3">
      <c r="A303" s="1">
        <v>43497</v>
      </c>
      <c r="B303">
        <v>75.510000000000005</v>
      </c>
      <c r="C303" s="15">
        <v>-14931</v>
      </c>
      <c r="D303">
        <v>-3.57</v>
      </c>
      <c r="E303">
        <v>-2.59</v>
      </c>
      <c r="F303">
        <v>6.4</v>
      </c>
      <c r="G303" s="9">
        <v>3.89</v>
      </c>
      <c r="H303">
        <f t="shared" si="4"/>
        <v>2.4160169409952914</v>
      </c>
      <c r="I303">
        <v>2.4160169409952914</v>
      </c>
      <c r="J303" s="13">
        <v>567984.5</v>
      </c>
      <c r="K303">
        <v>-2.2552714370283056</v>
      </c>
      <c r="L303">
        <v>-3.796835278414068</v>
      </c>
    </row>
    <row r="304" spans="1:12" x14ac:dyDescent="0.3">
      <c r="A304" s="1">
        <v>43525</v>
      </c>
      <c r="B304">
        <v>76.709999999999994</v>
      </c>
      <c r="C304" s="15">
        <v>-18629</v>
      </c>
      <c r="D304">
        <v>-3.4</v>
      </c>
      <c r="E304">
        <v>-3.09</v>
      </c>
      <c r="F304">
        <v>6.4</v>
      </c>
      <c r="G304" s="9">
        <v>4.58</v>
      </c>
      <c r="H304">
        <f t="shared" si="4"/>
        <v>1.7402945113788482</v>
      </c>
      <c r="I304">
        <v>1.7402945113788482</v>
      </c>
      <c r="J304" s="13">
        <v>579172.6</v>
      </c>
      <c r="K304">
        <v>1.2034770327936428</v>
      </c>
      <c r="L304">
        <v>-2.7776366368309935</v>
      </c>
    </row>
    <row r="305" spans="1:12" x14ac:dyDescent="0.3">
      <c r="A305" s="1">
        <v>43556</v>
      </c>
      <c r="B305">
        <v>77.12</v>
      </c>
      <c r="C305" s="15">
        <v>6637</v>
      </c>
      <c r="D305">
        <v>1.04</v>
      </c>
      <c r="E305">
        <v>1.08</v>
      </c>
      <c r="F305">
        <v>6.4</v>
      </c>
      <c r="G305" s="9">
        <v>4.9400000000000004</v>
      </c>
      <c r="H305">
        <f t="shared" si="4"/>
        <v>1.3912712025919483</v>
      </c>
      <c r="I305">
        <v>1.3912712025919483</v>
      </c>
      <c r="J305" s="13">
        <v>592916</v>
      </c>
      <c r="K305">
        <v>1.7768689805992111</v>
      </c>
      <c r="L305">
        <v>-1.8855348545068318</v>
      </c>
    </row>
    <row r="306" spans="1:12" x14ac:dyDescent="0.3">
      <c r="A306" s="1">
        <v>43586</v>
      </c>
      <c r="B306">
        <v>76.55</v>
      </c>
      <c r="C306" s="15">
        <v>-13000</v>
      </c>
      <c r="D306">
        <v>-2.14</v>
      </c>
      <c r="E306">
        <v>-2.11</v>
      </c>
      <c r="F306">
        <v>6.4</v>
      </c>
      <c r="G306" s="11">
        <v>4.66</v>
      </c>
      <c r="H306">
        <f t="shared" si="4"/>
        <v>1.662526275558962</v>
      </c>
      <c r="I306">
        <v>1.662526275558962</v>
      </c>
      <c r="J306" s="13">
        <v>604607.4</v>
      </c>
      <c r="K306">
        <v>1.8227252078499845</v>
      </c>
      <c r="L306">
        <v>-0.39131101531061363</v>
      </c>
    </row>
    <row r="307" spans="1:12" x14ac:dyDescent="0.3">
      <c r="A307" s="1">
        <v>43617</v>
      </c>
      <c r="B307">
        <v>76.67</v>
      </c>
      <c r="C307" s="15">
        <v>-12700</v>
      </c>
      <c r="D307">
        <v>-2.0299999999999998</v>
      </c>
      <c r="E307">
        <v>-2.13</v>
      </c>
      <c r="F307">
        <v>6.4</v>
      </c>
      <c r="G307" s="11">
        <v>3.37</v>
      </c>
      <c r="H307">
        <f t="shared" si="4"/>
        <v>2.9312179549192185</v>
      </c>
      <c r="I307">
        <v>2.9312179549192185</v>
      </c>
      <c r="J307" s="13">
        <v>598283</v>
      </c>
      <c r="K307">
        <v>-1.061516691549258</v>
      </c>
      <c r="L307">
        <v>-1.7592240084770117</v>
      </c>
    </row>
    <row r="308" spans="1:12" x14ac:dyDescent="0.3">
      <c r="A308" s="1">
        <v>43647</v>
      </c>
      <c r="B308">
        <v>76.83</v>
      </c>
      <c r="C308" s="15">
        <v>-2763</v>
      </c>
      <c r="D308">
        <v>-0.21</v>
      </c>
      <c r="E308">
        <v>-0.44</v>
      </c>
      <c r="F308">
        <v>6.4</v>
      </c>
      <c r="G308" s="11">
        <v>3.22</v>
      </c>
      <c r="H308">
        <f t="shared" si="4"/>
        <v>3.0807982949040857</v>
      </c>
      <c r="I308">
        <v>3.0807982949040857</v>
      </c>
      <c r="J308" s="13">
        <v>627049.69999999995</v>
      </c>
      <c r="K308">
        <v>4.5063167780257984</v>
      </c>
      <c r="L308">
        <v>2.930589221613733</v>
      </c>
    </row>
    <row r="309" spans="1:12" x14ac:dyDescent="0.3">
      <c r="A309" s="1">
        <v>43678</v>
      </c>
      <c r="B309">
        <v>77.56</v>
      </c>
      <c r="C309" s="15">
        <v>-13448</v>
      </c>
      <c r="D309">
        <v>-2.61</v>
      </c>
      <c r="E309">
        <v>-2.13</v>
      </c>
      <c r="F309">
        <v>5.9</v>
      </c>
      <c r="G309" s="11">
        <v>3.43</v>
      </c>
      <c r="H309">
        <f t="shared" si="4"/>
        <v>2.3880885623126735</v>
      </c>
      <c r="I309">
        <v>2.3880885623126735</v>
      </c>
      <c r="J309" s="13">
        <v>616157.6</v>
      </c>
      <c r="K309">
        <v>-1.8623074802599504</v>
      </c>
      <c r="L309">
        <v>0.96161518730808471</v>
      </c>
    </row>
    <row r="310" spans="1:12" x14ac:dyDescent="0.3">
      <c r="A310" s="1">
        <v>43709</v>
      </c>
      <c r="B310">
        <v>76.599999999999994</v>
      </c>
      <c r="C310" s="15">
        <v>-20541</v>
      </c>
      <c r="D310">
        <v>-3.32</v>
      </c>
      <c r="E310">
        <v>-3.32</v>
      </c>
      <c r="F310">
        <v>5.71</v>
      </c>
      <c r="G310" s="11">
        <v>2.89</v>
      </c>
      <c r="H310">
        <f t="shared" si="4"/>
        <v>2.7407911361648329</v>
      </c>
      <c r="I310">
        <v>2.7407911361648329</v>
      </c>
      <c r="J310" s="13">
        <v>614187.9</v>
      </c>
      <c r="K310">
        <v>-0.28021647674467687</v>
      </c>
      <c r="L310">
        <v>0.36750546488408808</v>
      </c>
    </row>
    <row r="311" spans="1:12" x14ac:dyDescent="0.3">
      <c r="A311" s="1">
        <v>43739</v>
      </c>
      <c r="B311">
        <v>75.790000000000006</v>
      </c>
      <c r="C311" s="15">
        <v>9400</v>
      </c>
      <c r="D311">
        <v>1.33</v>
      </c>
      <c r="E311">
        <v>1.45</v>
      </c>
      <c r="F311">
        <v>5.38</v>
      </c>
      <c r="G311" s="11">
        <v>2.54</v>
      </c>
      <c r="H311">
        <f t="shared" si="4"/>
        <v>2.7696508679539766</v>
      </c>
      <c r="I311">
        <v>2.7696508679539766</v>
      </c>
      <c r="J311" s="13">
        <v>641340.1</v>
      </c>
      <c r="K311">
        <v>4.2259072955289412</v>
      </c>
      <c r="L311">
        <v>5.2324030088753304</v>
      </c>
    </row>
    <row r="312" spans="1:12" x14ac:dyDescent="0.3">
      <c r="A312" s="1">
        <v>43770</v>
      </c>
      <c r="B312">
        <v>76.2</v>
      </c>
      <c r="C312" s="15">
        <v>-15300</v>
      </c>
      <c r="D312">
        <v>-2.83</v>
      </c>
      <c r="E312">
        <v>-2.4</v>
      </c>
      <c r="F312">
        <v>4.9000000000000004</v>
      </c>
      <c r="G312" s="11">
        <v>3.27</v>
      </c>
      <c r="H312">
        <f t="shared" si="4"/>
        <v>1.5783867531713014</v>
      </c>
      <c r="I312">
        <v>1.5783867531713014</v>
      </c>
      <c r="J312" s="13">
        <v>634826.19999999995</v>
      </c>
      <c r="K312">
        <v>-1.5295927178472724</v>
      </c>
      <c r="L312">
        <v>4.1948305799871743</v>
      </c>
    </row>
    <row r="313" spans="1:12" x14ac:dyDescent="0.3">
      <c r="A313" s="1">
        <v>43800</v>
      </c>
      <c r="B313">
        <v>74.44</v>
      </c>
      <c r="C313" s="15">
        <v>-13500</v>
      </c>
      <c r="D313">
        <v>-2.5299999999999998</v>
      </c>
      <c r="E313">
        <v>-2.12</v>
      </c>
      <c r="F313">
        <v>4.59</v>
      </c>
      <c r="G313" s="11">
        <v>4.3099999999999996</v>
      </c>
      <c r="H313">
        <f t="shared" si="4"/>
        <v>0.26843063944015366</v>
      </c>
      <c r="I313">
        <v>0.26843063944015366</v>
      </c>
      <c r="J313" s="13">
        <v>646343.1</v>
      </c>
      <c r="K313">
        <v>0.65443203014670104</v>
      </c>
      <c r="L313">
        <v>5.2204097242952052</v>
      </c>
    </row>
    <row r="314" spans="1:12" x14ac:dyDescent="0.3">
      <c r="A314" s="1">
        <v>43831</v>
      </c>
      <c r="B314">
        <v>74.75</v>
      </c>
      <c r="C314" s="15">
        <v>56276</v>
      </c>
      <c r="D314">
        <v>7.43</v>
      </c>
      <c r="E314">
        <v>9.16</v>
      </c>
      <c r="F314">
        <v>4.4000000000000004</v>
      </c>
      <c r="G314" s="11">
        <v>4.1900000000000004</v>
      </c>
      <c r="H314">
        <f t="shared" si="4"/>
        <v>0.20155485171322596</v>
      </c>
      <c r="I314">
        <v>0.20155485171322596</v>
      </c>
      <c r="J314" s="13">
        <v>617747.19999999995</v>
      </c>
      <c r="K314">
        <v>-4.7348489536579663</v>
      </c>
      <c r="L314">
        <v>0.14899566334243275</v>
      </c>
    </row>
    <row r="315" spans="1:12" x14ac:dyDescent="0.3">
      <c r="A315" s="1">
        <v>43862</v>
      </c>
      <c r="B315">
        <v>75.150000000000006</v>
      </c>
      <c r="C315" s="15">
        <v>-20900</v>
      </c>
      <c r="D315">
        <v>-4.3499999999999996</v>
      </c>
      <c r="E315">
        <v>-3.38</v>
      </c>
      <c r="F315">
        <v>4.1900000000000004</v>
      </c>
      <c r="G315" s="11">
        <v>4.01</v>
      </c>
      <c r="H315">
        <f t="shared" si="4"/>
        <v>0.1730602826651273</v>
      </c>
      <c r="I315">
        <v>0.1730602826651273</v>
      </c>
      <c r="J315" s="13">
        <v>609810.80000000005</v>
      </c>
      <c r="K315">
        <v>-1.5427718651279676</v>
      </c>
      <c r="L315">
        <v>-1.1645307931355209</v>
      </c>
    </row>
    <row r="316" spans="1:12" x14ac:dyDescent="0.3">
      <c r="A316" s="1">
        <v>43891</v>
      </c>
      <c r="B316">
        <v>76.78</v>
      </c>
      <c r="C316" s="15">
        <v>-23650</v>
      </c>
      <c r="D316">
        <v>-3.39</v>
      </c>
      <c r="E316">
        <v>-3.73</v>
      </c>
      <c r="F316">
        <v>3.95</v>
      </c>
      <c r="G316" s="11">
        <v>3.3</v>
      </c>
      <c r="H316">
        <f t="shared" si="4"/>
        <v>0.62923523717330898</v>
      </c>
      <c r="I316">
        <v>0.62923523717330898</v>
      </c>
      <c r="J316" s="13">
        <v>616335.30000000005</v>
      </c>
      <c r="K316">
        <v>0.99428811249513416</v>
      </c>
      <c r="L316">
        <v>-0.17743396674098078</v>
      </c>
    </row>
    <row r="317" spans="1:12" x14ac:dyDescent="0.3">
      <c r="A317" s="1">
        <v>43922</v>
      </c>
      <c r="B317">
        <v>78.040000000000006</v>
      </c>
      <c r="C317" s="15">
        <v>-94300</v>
      </c>
      <c r="D317">
        <v>-16.18</v>
      </c>
      <c r="E317">
        <v>-16.59</v>
      </c>
      <c r="F317">
        <v>3.65</v>
      </c>
      <c r="G317" s="11">
        <v>2.4</v>
      </c>
      <c r="H317">
        <f t="shared" si="4"/>
        <v>1.220703125</v>
      </c>
      <c r="I317">
        <v>1.220703125</v>
      </c>
      <c r="J317" s="13">
        <v>555387.4</v>
      </c>
      <c r="K317">
        <v>-10.102049023974047</v>
      </c>
      <c r="L317">
        <v>-10.01433816327123</v>
      </c>
    </row>
    <row r="318" spans="1:12" x14ac:dyDescent="0.3">
      <c r="A318" s="1">
        <v>43952</v>
      </c>
      <c r="B318">
        <v>79.959999999999994</v>
      </c>
      <c r="C318" s="15">
        <v>-131400</v>
      </c>
      <c r="D318">
        <v>-22.03</v>
      </c>
      <c r="E318">
        <v>-22.79</v>
      </c>
      <c r="F318">
        <v>3.01</v>
      </c>
      <c r="G318" s="11">
        <v>1.88</v>
      </c>
      <c r="H318">
        <f t="shared" si="4"/>
        <v>1.109148017275241</v>
      </c>
      <c r="I318">
        <v>1.109148017275241</v>
      </c>
      <c r="J318" s="13">
        <v>561628.4</v>
      </c>
      <c r="K318">
        <v>1.4981534475412062</v>
      </c>
      <c r="L318">
        <v>-8.5761280402786628</v>
      </c>
    </row>
    <row r="319" spans="1:12" x14ac:dyDescent="0.3">
      <c r="A319" s="1">
        <v>43983</v>
      </c>
      <c r="B319">
        <v>82.87</v>
      </c>
      <c r="C319" s="15">
        <v>-188682</v>
      </c>
      <c r="D319">
        <v>-32.130000000000003</v>
      </c>
      <c r="E319">
        <v>-31.05</v>
      </c>
      <c r="F319">
        <v>2.58</v>
      </c>
      <c r="G319" s="11">
        <v>2.13</v>
      </c>
      <c r="H319">
        <f t="shared" si="4"/>
        <v>0.44061490257514269</v>
      </c>
      <c r="I319">
        <v>0.44061490257514269</v>
      </c>
      <c r="J319" s="13">
        <v>591537.30000000005</v>
      </c>
      <c r="K319">
        <v>4.9287748821710053</v>
      </c>
      <c r="L319">
        <v>-4.1166624743419149</v>
      </c>
    </row>
    <row r="320" spans="1:12" x14ac:dyDescent="0.3">
      <c r="A320" s="1">
        <v>44013</v>
      </c>
      <c r="B320">
        <v>83.5</v>
      </c>
      <c r="C320" s="15">
        <v>-81071</v>
      </c>
      <c r="D320">
        <v>-13.67</v>
      </c>
      <c r="E320">
        <v>-12.59</v>
      </c>
      <c r="F320">
        <v>2.15</v>
      </c>
      <c r="G320" s="11">
        <v>2.31</v>
      </c>
      <c r="H320">
        <f t="shared" si="4"/>
        <v>-0.15638744990712494</v>
      </c>
      <c r="I320">
        <v>-0.15638744990712494</v>
      </c>
      <c r="J320" s="13">
        <v>629700.9</v>
      </c>
      <c r="K320">
        <v>5.8926977632085098</v>
      </c>
      <c r="L320">
        <v>1.9879975017108809</v>
      </c>
    </row>
    <row r="321" spans="1:12" x14ac:dyDescent="0.3">
      <c r="A321" s="1">
        <v>44044</v>
      </c>
      <c r="B321">
        <v>85.83</v>
      </c>
      <c r="C321" s="15">
        <v>-87590</v>
      </c>
      <c r="D321">
        <v>-15.13</v>
      </c>
      <c r="E321">
        <v>-13.75</v>
      </c>
      <c r="F321">
        <v>1.94</v>
      </c>
      <c r="G321" s="11">
        <v>2.44</v>
      </c>
      <c r="H321">
        <f t="shared" si="4"/>
        <v>-0.48809058961342133</v>
      </c>
      <c r="I321">
        <v>-0.48809058961342133</v>
      </c>
      <c r="J321" s="13">
        <v>625136.30000000005</v>
      </c>
      <c r="K321">
        <v>-0.96729024465727065</v>
      </c>
      <c r="L321">
        <v>0.71057246281218678</v>
      </c>
    </row>
    <row r="322" spans="1:12" x14ac:dyDescent="0.3">
      <c r="A322" s="1">
        <v>44075</v>
      </c>
      <c r="B322">
        <v>87.42</v>
      </c>
      <c r="C322" s="15">
        <v>-64560</v>
      </c>
      <c r="D322">
        <v>-11.59</v>
      </c>
      <c r="E322">
        <v>-9.9600000000000009</v>
      </c>
      <c r="F322">
        <v>1.9</v>
      </c>
      <c r="G322" s="11">
        <v>3.14</v>
      </c>
      <c r="H322">
        <f t="shared" si="4"/>
        <v>-1.2022493697886549</v>
      </c>
      <c r="I322">
        <v>-1.2022493697886549</v>
      </c>
      <c r="J322" s="13">
        <v>635263.9</v>
      </c>
      <c r="K322">
        <v>0.96907717684704409</v>
      </c>
      <c r="L322">
        <v>0.64873747174578611</v>
      </c>
    </row>
    <row r="323" spans="1:12" x14ac:dyDescent="0.3">
      <c r="A323" s="1">
        <v>44105</v>
      </c>
      <c r="B323">
        <v>87.67</v>
      </c>
      <c r="C323" s="15">
        <v>3000</v>
      </c>
      <c r="D323">
        <v>-0.47</v>
      </c>
      <c r="E323">
        <v>0.44</v>
      </c>
      <c r="F323">
        <v>1.9</v>
      </c>
      <c r="G323" s="11">
        <v>3.92</v>
      </c>
      <c r="H323">
        <f t="shared" ref="H323:H382" si="5">((1+F323/100)/(1+G323/100)-1)*100</f>
        <v>-1.943802925327176</v>
      </c>
      <c r="I323">
        <v>-1.943802925327176</v>
      </c>
      <c r="J323" s="13">
        <v>661149</v>
      </c>
      <c r="K323">
        <v>3.1375322022352492</v>
      </c>
      <c r="L323">
        <v>3.1695330402152555</v>
      </c>
    </row>
    <row r="324" spans="1:12" x14ac:dyDescent="0.3">
      <c r="A324" s="1">
        <v>44136</v>
      </c>
      <c r="B324">
        <v>86.97</v>
      </c>
      <c r="C324" s="15">
        <v>-18100</v>
      </c>
      <c r="D324">
        <v>-2.98</v>
      </c>
      <c r="E324">
        <v>-2.67</v>
      </c>
      <c r="F324">
        <v>1.9</v>
      </c>
      <c r="G324" s="11">
        <v>4.3099999999999996</v>
      </c>
      <c r="H324">
        <f t="shared" si="5"/>
        <v>-2.3104208608954124</v>
      </c>
      <c r="I324">
        <v>-2.3104208608954124</v>
      </c>
      <c r="J324" s="13">
        <v>665182.80000000005</v>
      </c>
      <c r="K324">
        <v>-0.27781022363981833</v>
      </c>
      <c r="L324">
        <v>1.5632244152102404</v>
      </c>
    </row>
    <row r="325" spans="1:12" x14ac:dyDescent="0.3">
      <c r="A325" s="1">
        <v>44166</v>
      </c>
      <c r="B325">
        <v>86.94</v>
      </c>
      <c r="C325" s="15">
        <v>-51800</v>
      </c>
      <c r="D325">
        <v>-6.35</v>
      </c>
      <c r="E325">
        <v>-7.35</v>
      </c>
      <c r="F325">
        <v>1.9</v>
      </c>
      <c r="G325" s="11">
        <v>4.5199999999999996</v>
      </c>
      <c r="H325">
        <f t="shared" si="5"/>
        <v>-2.5066972828166834</v>
      </c>
      <c r="I325">
        <v>-2.5066972828166834</v>
      </c>
      <c r="J325" s="13">
        <v>685042.6</v>
      </c>
      <c r="K325">
        <v>1.6009093022908871</v>
      </c>
      <c r="L325">
        <v>2.0082968141694746</v>
      </c>
    </row>
    <row r="326" spans="1:12" x14ac:dyDescent="0.3">
      <c r="A326" s="1">
        <v>44197</v>
      </c>
      <c r="B326">
        <v>86.91</v>
      </c>
      <c r="C326" s="15">
        <v>58400</v>
      </c>
      <c r="D326">
        <v>6.38</v>
      </c>
      <c r="E326">
        <v>8.59</v>
      </c>
      <c r="F326">
        <v>1.9</v>
      </c>
      <c r="G326" s="11">
        <v>4.5599999999999996</v>
      </c>
      <c r="H326">
        <f t="shared" si="5"/>
        <v>-2.5439938791124828</v>
      </c>
      <c r="I326">
        <v>-2.5439938791124828</v>
      </c>
      <c r="J326" s="13">
        <v>653790.4</v>
      </c>
      <c r="K326">
        <v>-4.919083091707499</v>
      </c>
      <c r="L326">
        <v>-3.8971706219512292</v>
      </c>
    </row>
    <row r="327" spans="1:12" x14ac:dyDescent="0.3">
      <c r="A327" s="1">
        <v>44228</v>
      </c>
      <c r="B327">
        <v>86.87</v>
      </c>
      <c r="C327" s="15">
        <v>-11800</v>
      </c>
      <c r="D327">
        <v>-3.2</v>
      </c>
      <c r="E327">
        <v>-1.66</v>
      </c>
      <c r="F327">
        <v>1.9</v>
      </c>
      <c r="G327" s="11">
        <v>5.2</v>
      </c>
      <c r="H327">
        <f t="shared" si="5"/>
        <v>-3.136882129277585</v>
      </c>
      <c r="I327">
        <v>-3.136882129277585</v>
      </c>
      <c r="J327" s="13">
        <v>676255</v>
      </c>
      <c r="K327">
        <v>2.5220291600762224</v>
      </c>
      <c r="L327">
        <v>-1.9506371429231839</v>
      </c>
    </row>
    <row r="328" spans="1:12" x14ac:dyDescent="0.3">
      <c r="A328" s="1">
        <v>44256</v>
      </c>
      <c r="B328">
        <v>85.1</v>
      </c>
      <c r="C328" s="15">
        <v>4981</v>
      </c>
      <c r="D328">
        <v>0.52</v>
      </c>
      <c r="E328">
        <v>0.65</v>
      </c>
      <c r="F328">
        <v>2.23</v>
      </c>
      <c r="G328" s="11">
        <v>6.1</v>
      </c>
      <c r="H328">
        <f t="shared" si="5"/>
        <v>-3.6475023562676734</v>
      </c>
      <c r="I328">
        <v>-3.6475023562676734</v>
      </c>
      <c r="J328" s="13">
        <v>735993.6</v>
      </c>
      <c r="K328">
        <v>7.5393931043061357</v>
      </c>
      <c r="L328">
        <v>5.1487715678587564</v>
      </c>
    </row>
    <row r="329" spans="1:12" x14ac:dyDescent="0.3">
      <c r="A329" s="1">
        <v>44287</v>
      </c>
      <c r="B329">
        <v>82.62</v>
      </c>
      <c r="C329" s="15">
        <v>24300</v>
      </c>
      <c r="D329">
        <v>2.2200000000000002</v>
      </c>
      <c r="E329">
        <v>3.29</v>
      </c>
      <c r="F329">
        <v>2.65</v>
      </c>
      <c r="G329" s="11">
        <v>6.76</v>
      </c>
      <c r="H329">
        <f t="shared" si="5"/>
        <v>-3.8497564630948</v>
      </c>
      <c r="I329">
        <v>-3.8497564630948</v>
      </c>
      <c r="J329" s="13">
        <v>713652.1</v>
      </c>
      <c r="K329">
        <v>-3.3920752553273203</v>
      </c>
      <c r="L329">
        <v>1.1574573445611858</v>
      </c>
    </row>
    <row r="330" spans="1:12" x14ac:dyDescent="0.3">
      <c r="A330" s="1">
        <v>44317</v>
      </c>
      <c r="B330">
        <v>81.44</v>
      </c>
      <c r="C330" s="15">
        <v>-15500</v>
      </c>
      <c r="D330">
        <v>-2.88</v>
      </c>
      <c r="E330">
        <v>-2.12</v>
      </c>
      <c r="F330">
        <v>3.29</v>
      </c>
      <c r="G330" s="11">
        <v>8.06</v>
      </c>
      <c r="H330">
        <f t="shared" si="5"/>
        <v>-4.4142143253747985</v>
      </c>
      <c r="I330">
        <v>-4.4142143253747985</v>
      </c>
      <c r="J330" s="13">
        <v>712134.2</v>
      </c>
      <c r="K330">
        <v>-1.0395623086157713</v>
      </c>
      <c r="L330">
        <v>-0.22398984297532509</v>
      </c>
    </row>
    <row r="331" spans="1:12" x14ac:dyDescent="0.3">
      <c r="A331" s="1">
        <v>44348</v>
      </c>
      <c r="B331">
        <v>80.599999999999994</v>
      </c>
      <c r="C331" s="15">
        <v>-65500</v>
      </c>
      <c r="D331">
        <v>-10.19</v>
      </c>
      <c r="E331">
        <v>-8.92</v>
      </c>
      <c r="F331">
        <v>3.76</v>
      </c>
      <c r="G331" s="11">
        <v>8.35</v>
      </c>
      <c r="H331">
        <f t="shared" si="5"/>
        <v>-4.236271342870312</v>
      </c>
      <c r="I331">
        <v>-4.236271342870312</v>
      </c>
      <c r="J331" s="13">
        <v>714893.3</v>
      </c>
      <c r="K331">
        <v>-0.14191379770025492</v>
      </c>
      <c r="L331">
        <v>-0.77510828506477392</v>
      </c>
    </row>
    <row r="332" spans="1:12" x14ac:dyDescent="0.3">
      <c r="A332" s="1">
        <v>44378</v>
      </c>
      <c r="B332">
        <v>80.25</v>
      </c>
      <c r="C332" s="15">
        <v>-10283</v>
      </c>
      <c r="D332">
        <v>-2.2000000000000002</v>
      </c>
      <c r="E332">
        <v>-1.34</v>
      </c>
      <c r="F332">
        <v>4.1500000000000004</v>
      </c>
      <c r="G332" s="11">
        <v>8.99</v>
      </c>
      <c r="H332">
        <f t="shared" si="5"/>
        <v>-4.440774382970913</v>
      </c>
      <c r="I332">
        <v>-4.440774382970913</v>
      </c>
      <c r="J332" s="13">
        <v>743091.8</v>
      </c>
      <c r="K332">
        <v>2.9132387021483908</v>
      </c>
      <c r="L332">
        <v>2.5186068552633278</v>
      </c>
    </row>
    <row r="333" spans="1:12" x14ac:dyDescent="0.3">
      <c r="A333" s="1">
        <v>44409</v>
      </c>
      <c r="B333">
        <v>79.64</v>
      </c>
      <c r="C333" s="15">
        <v>16729</v>
      </c>
      <c r="D333">
        <v>-1.44</v>
      </c>
      <c r="E333">
        <v>2.1800000000000002</v>
      </c>
      <c r="F333">
        <v>5.01</v>
      </c>
      <c r="G333" s="11">
        <v>9.68</v>
      </c>
      <c r="H333">
        <f t="shared" si="5"/>
        <v>-4.257840991976658</v>
      </c>
      <c r="I333">
        <v>-4.257840991976658</v>
      </c>
      <c r="J333" s="13">
        <v>740615.1</v>
      </c>
      <c r="K333">
        <v>-1.200078382055203</v>
      </c>
      <c r="L333">
        <v>1.0423021374287744</v>
      </c>
    </row>
    <row r="334" spans="1:12" x14ac:dyDescent="0.3">
      <c r="A334" s="1">
        <v>44440</v>
      </c>
      <c r="B334">
        <v>79.62</v>
      </c>
      <c r="C334" s="15">
        <v>12933</v>
      </c>
      <c r="D334">
        <v>0.11</v>
      </c>
      <c r="E334">
        <v>1.7</v>
      </c>
      <c r="F334">
        <v>5.43</v>
      </c>
      <c r="G334" s="11">
        <v>10.25</v>
      </c>
      <c r="H334">
        <f t="shared" si="5"/>
        <v>-4.3718820861677994</v>
      </c>
      <c r="I334">
        <v>-4.3718820861677994</v>
      </c>
      <c r="J334" s="13">
        <v>745774.4</v>
      </c>
      <c r="K334">
        <v>-0.45907846167168032</v>
      </c>
      <c r="L334">
        <v>-0.19229967603205944</v>
      </c>
    </row>
    <row r="335" spans="1:12" x14ac:dyDescent="0.3">
      <c r="A335" s="1">
        <v>44470</v>
      </c>
      <c r="B335">
        <v>79.52</v>
      </c>
      <c r="C335" s="15">
        <v>35399</v>
      </c>
      <c r="D335">
        <v>3.75</v>
      </c>
      <c r="E335">
        <v>4.58</v>
      </c>
      <c r="F335">
        <v>6.3</v>
      </c>
      <c r="G335" s="11">
        <v>10.67</v>
      </c>
      <c r="H335">
        <f t="shared" si="5"/>
        <v>-3.9486762446914292</v>
      </c>
      <c r="I335">
        <v>-3.9486762446914292</v>
      </c>
      <c r="J335" s="13">
        <v>755323</v>
      </c>
      <c r="K335">
        <v>3.0024688867591465E-2</v>
      </c>
      <c r="L335">
        <v>-8.4621356318503871E-2</v>
      </c>
    </row>
    <row r="336" spans="1:12" x14ac:dyDescent="0.3">
      <c r="A336" s="1">
        <v>44501</v>
      </c>
      <c r="B336">
        <v>78.22</v>
      </c>
      <c r="C336" s="15">
        <v>15034</v>
      </c>
      <c r="D336">
        <v>0.49</v>
      </c>
      <c r="E336">
        <v>1.91</v>
      </c>
      <c r="F336">
        <v>7.65</v>
      </c>
      <c r="G336" s="11">
        <v>10.74</v>
      </c>
      <c r="H336">
        <f t="shared" si="5"/>
        <v>-2.7903196676900777</v>
      </c>
      <c r="I336">
        <v>-2.7903196676900777</v>
      </c>
      <c r="J336" s="13">
        <v>771558.9</v>
      </c>
      <c r="K336">
        <v>1.1811698696059025</v>
      </c>
      <c r="L336">
        <v>0.889992107723514</v>
      </c>
    </row>
    <row r="337" spans="1:12" x14ac:dyDescent="0.3">
      <c r="A337" s="1">
        <v>44531</v>
      </c>
      <c r="B337">
        <v>77.31</v>
      </c>
      <c r="C337">
        <v>0.123</v>
      </c>
      <c r="D337">
        <v>1.73</v>
      </c>
      <c r="E337">
        <v>0.02</v>
      </c>
      <c r="F337">
        <v>8.76</v>
      </c>
      <c r="G337" s="11">
        <v>10.06</v>
      </c>
      <c r="H337">
        <f t="shared" si="5"/>
        <v>-1.1811739051426628</v>
      </c>
      <c r="I337">
        <v>-1.1811739051426628</v>
      </c>
      <c r="J337" s="13">
        <v>782833.5</v>
      </c>
      <c r="K337">
        <v>0.72339466019695209</v>
      </c>
      <c r="L337">
        <v>1.3823704013202764</v>
      </c>
    </row>
    <row r="338" spans="1:12" x14ac:dyDescent="0.3">
      <c r="A338" s="1">
        <v>44562</v>
      </c>
      <c r="B338">
        <v>77</v>
      </c>
      <c r="C338" s="15">
        <v>101800</v>
      </c>
      <c r="D338">
        <v>10.71</v>
      </c>
      <c r="E338">
        <v>14.07</v>
      </c>
      <c r="F338">
        <v>9.15</v>
      </c>
      <c r="G338" s="11">
        <v>10.38</v>
      </c>
      <c r="H338">
        <f t="shared" si="5"/>
        <v>-1.1143323065772925</v>
      </c>
      <c r="I338">
        <v>-1.1143323065772925</v>
      </c>
      <c r="J338" s="13">
        <v>722909.9</v>
      </c>
      <c r="K338">
        <v>-8.5021197160070727</v>
      </c>
      <c r="L338">
        <v>-7.3959312756690876</v>
      </c>
    </row>
    <row r="339" spans="1:12" x14ac:dyDescent="0.3">
      <c r="A339" s="1">
        <v>44593</v>
      </c>
      <c r="B339">
        <v>76.92</v>
      </c>
      <c r="C339" s="15">
        <v>3471</v>
      </c>
      <c r="D339">
        <v>-2.56</v>
      </c>
      <c r="E339">
        <v>0.46</v>
      </c>
      <c r="F339">
        <v>10.49</v>
      </c>
      <c r="G339" s="11">
        <v>10.54</v>
      </c>
      <c r="H339">
        <f t="shared" si="5"/>
        <v>-4.5232495024416508E-2</v>
      </c>
      <c r="I339">
        <v>-4.5232495024416508E-2</v>
      </c>
      <c r="J339" s="13">
        <v>754147.4</v>
      </c>
      <c r="K339">
        <v>3.2253299060112539</v>
      </c>
      <c r="L339">
        <v>-4.7134102331752858</v>
      </c>
    </row>
    <row r="340" spans="1:12" x14ac:dyDescent="0.3">
      <c r="A340" s="1">
        <v>44621</v>
      </c>
      <c r="B340">
        <v>76.400000000000006</v>
      </c>
      <c r="C340" s="15">
        <v>4312</v>
      </c>
      <c r="D340">
        <v>-0.92</v>
      </c>
      <c r="E340">
        <v>0.51</v>
      </c>
      <c r="F340">
        <v>11.15</v>
      </c>
      <c r="G340" s="11">
        <v>11.3</v>
      </c>
      <c r="H340">
        <f t="shared" si="5"/>
        <v>-0.13477088948787852</v>
      </c>
      <c r="I340">
        <v>-0.13477088948787852</v>
      </c>
      <c r="J340" s="13">
        <v>838868</v>
      </c>
      <c r="K340">
        <v>9.0394851416270683</v>
      </c>
      <c r="L340">
        <v>3.9673878199403934</v>
      </c>
    </row>
    <row r="341" spans="1:12" x14ac:dyDescent="0.3">
      <c r="A341" s="1">
        <v>44652</v>
      </c>
      <c r="B341">
        <v>76.33</v>
      </c>
      <c r="C341" s="15">
        <v>38876</v>
      </c>
      <c r="D341">
        <v>3.57</v>
      </c>
      <c r="E341">
        <v>4.67</v>
      </c>
      <c r="F341">
        <v>11.65</v>
      </c>
      <c r="G341" s="11">
        <v>12.13</v>
      </c>
      <c r="H341">
        <f t="shared" si="5"/>
        <v>-0.42807455631854729</v>
      </c>
      <c r="I341">
        <v>-0.42807455631854729</v>
      </c>
      <c r="J341" s="13">
        <v>819727.6</v>
      </c>
      <c r="K341">
        <v>-3.3625666779036223</v>
      </c>
      <c r="L341">
        <v>-0.16462006247748295</v>
      </c>
    </row>
    <row r="342" spans="1:12" x14ac:dyDescent="0.3">
      <c r="A342" s="1">
        <v>44682</v>
      </c>
      <c r="B342">
        <v>75.680000000000007</v>
      </c>
      <c r="C342" s="15">
        <v>-32993</v>
      </c>
      <c r="D342">
        <v>-4.76</v>
      </c>
      <c r="E342">
        <v>-3.92</v>
      </c>
      <c r="F342">
        <v>12.51</v>
      </c>
      <c r="G342" s="11">
        <v>11.73</v>
      </c>
      <c r="H342">
        <f t="shared" si="5"/>
        <v>0.69811151884007216</v>
      </c>
      <c r="I342">
        <v>0.69811151884007216</v>
      </c>
      <c r="J342" s="13">
        <v>826052.1</v>
      </c>
      <c r="K342">
        <v>0.29966948045174746</v>
      </c>
      <c r="L342">
        <v>-0.53080824177440533</v>
      </c>
    </row>
    <row r="343" spans="1:12" x14ac:dyDescent="0.3">
      <c r="A343" s="1">
        <v>44713</v>
      </c>
      <c r="B343">
        <v>75.61</v>
      </c>
      <c r="C343" s="15">
        <v>14395</v>
      </c>
      <c r="D343">
        <v>1.63</v>
      </c>
      <c r="E343">
        <v>1.71</v>
      </c>
      <c r="F343">
        <v>12.89</v>
      </c>
      <c r="G343" s="11">
        <v>11.89</v>
      </c>
      <c r="H343">
        <f t="shared" si="5"/>
        <v>0.89373491822326567</v>
      </c>
      <c r="I343">
        <v>0.89373491822326567</v>
      </c>
      <c r="J343" s="13">
        <v>826025.7</v>
      </c>
      <c r="K343">
        <v>-0.67101882505564703</v>
      </c>
      <c r="L343">
        <v>-1.7525218955736999</v>
      </c>
    </row>
    <row r="344" spans="1:12" x14ac:dyDescent="0.3">
      <c r="A344" s="1">
        <v>44743</v>
      </c>
      <c r="B344">
        <v>75.239999999999995</v>
      </c>
      <c r="C344" s="15">
        <v>20440</v>
      </c>
      <c r="D344">
        <v>2.31</v>
      </c>
      <c r="E344">
        <v>2.35</v>
      </c>
      <c r="F344">
        <v>13.15</v>
      </c>
      <c r="G344" s="11">
        <v>10.07</v>
      </c>
      <c r="H344">
        <f t="shared" si="5"/>
        <v>2.798219314981365</v>
      </c>
      <c r="I344">
        <v>2.798219314981365</v>
      </c>
      <c r="J344" s="13">
        <v>852909.9</v>
      </c>
      <c r="K344">
        <v>3.8851287535264234</v>
      </c>
      <c r="L344">
        <v>2.3223438954369069</v>
      </c>
    </row>
    <row r="345" spans="1:12" x14ac:dyDescent="0.3">
      <c r="A345" s="1">
        <v>44774</v>
      </c>
      <c r="B345">
        <v>74.56</v>
      </c>
      <c r="C345" s="15">
        <v>-30279</v>
      </c>
      <c r="D345">
        <v>-5.69</v>
      </c>
      <c r="E345">
        <v>-3.46</v>
      </c>
      <c r="F345">
        <v>13.58</v>
      </c>
      <c r="G345" s="11">
        <v>8.73</v>
      </c>
      <c r="H345">
        <f t="shared" si="5"/>
        <v>4.4605904534167129</v>
      </c>
      <c r="I345">
        <v>4.4605904534167129</v>
      </c>
      <c r="J345" s="13">
        <v>854004.1</v>
      </c>
      <c r="K345">
        <v>0.48881028961549333</v>
      </c>
      <c r="L345">
        <v>2.2691471232363591</v>
      </c>
    </row>
    <row r="346" spans="1:12" x14ac:dyDescent="0.3">
      <c r="A346" s="1">
        <v>44805</v>
      </c>
      <c r="B346">
        <v>74.150000000000006</v>
      </c>
      <c r="C346" s="15">
        <v>10746</v>
      </c>
      <c r="D346">
        <v>1.3</v>
      </c>
      <c r="E346">
        <v>1.25</v>
      </c>
      <c r="F346">
        <v>13.65</v>
      </c>
      <c r="G346" s="11">
        <v>7.17</v>
      </c>
      <c r="H346">
        <f t="shared" si="5"/>
        <v>6.0464682280488846</v>
      </c>
      <c r="I346">
        <v>6.0464682280488846</v>
      </c>
      <c r="J346" s="13">
        <v>836785.8</v>
      </c>
      <c r="K346">
        <v>-1.7463300369326973</v>
      </c>
      <c r="L346">
        <v>-0.7096069206692146</v>
      </c>
    </row>
    <row r="347" spans="1:12" x14ac:dyDescent="0.3">
      <c r="A347" s="1">
        <v>44835</v>
      </c>
      <c r="B347">
        <v>73.7</v>
      </c>
      <c r="C347" s="15">
        <v>27095</v>
      </c>
      <c r="D347">
        <v>3.44</v>
      </c>
      <c r="E347">
        <v>3.08</v>
      </c>
      <c r="F347">
        <v>13.65</v>
      </c>
      <c r="G347" s="11">
        <v>6.47</v>
      </c>
      <c r="H347">
        <f t="shared" si="5"/>
        <v>6.7436836667605915</v>
      </c>
      <c r="I347">
        <v>6.7436836667605915</v>
      </c>
      <c r="J347" s="13">
        <v>877947.5</v>
      </c>
      <c r="K347">
        <v>4.2135230594004369</v>
      </c>
      <c r="L347">
        <v>3.3697378671478706</v>
      </c>
    </row>
    <row r="348" spans="1:12" x14ac:dyDescent="0.3">
      <c r="A348" s="1">
        <v>44866</v>
      </c>
      <c r="B348">
        <v>72.95</v>
      </c>
      <c r="C348" s="15">
        <v>-20089</v>
      </c>
      <c r="D348">
        <v>-1.86</v>
      </c>
      <c r="E348">
        <v>-2.2799999999999998</v>
      </c>
      <c r="F348">
        <v>13.65</v>
      </c>
      <c r="G348" s="11">
        <v>5.9</v>
      </c>
      <c r="H348">
        <f t="shared" si="5"/>
        <v>7.3182247403210665</v>
      </c>
      <c r="I348">
        <v>7.3182247403210665</v>
      </c>
      <c r="J348" s="13">
        <v>879514.9</v>
      </c>
      <c r="K348">
        <v>-0.23075187147885146</v>
      </c>
      <c r="L348">
        <v>2.7089851499505047</v>
      </c>
    </row>
    <row r="349" spans="1:12" x14ac:dyDescent="0.3">
      <c r="A349" s="1">
        <v>44896</v>
      </c>
      <c r="B349">
        <v>71.680000000000007</v>
      </c>
      <c r="C349" s="15">
        <v>-11813</v>
      </c>
      <c r="D349">
        <v>0.7</v>
      </c>
      <c r="E349">
        <v>-1.34</v>
      </c>
      <c r="F349">
        <v>13.65</v>
      </c>
      <c r="G349" s="11">
        <v>5.79</v>
      </c>
      <c r="H349">
        <f t="shared" si="5"/>
        <v>7.4298137820209886</v>
      </c>
      <c r="I349">
        <v>7.4298137820209886</v>
      </c>
      <c r="J349" s="13">
        <v>883886.2</v>
      </c>
      <c r="K349">
        <v>-0.12227281318804017</v>
      </c>
      <c r="L349">
        <v>2.2710785720349014</v>
      </c>
    </row>
    <row r="350" spans="1:12" x14ac:dyDescent="0.3">
      <c r="A350" s="1">
        <v>44927</v>
      </c>
      <c r="B350">
        <v>71.38</v>
      </c>
      <c r="C350" s="15">
        <v>99013</v>
      </c>
      <c r="D350">
        <v>9.7799999999999994</v>
      </c>
      <c r="E350">
        <v>12.2</v>
      </c>
      <c r="F350">
        <v>13.65</v>
      </c>
      <c r="G350" s="11">
        <v>5.77</v>
      </c>
      <c r="H350">
        <f t="shared" si="5"/>
        <v>7.4501276354353774</v>
      </c>
      <c r="I350">
        <v>7.4501276354353774</v>
      </c>
      <c r="J350" s="13">
        <v>812834.6</v>
      </c>
      <c r="K350">
        <v>-8.9086269618048775</v>
      </c>
      <c r="L350">
        <v>-6.9155298356158639</v>
      </c>
    </row>
    <row r="351" spans="1:12" x14ac:dyDescent="0.3">
      <c r="A351" s="1">
        <v>44958</v>
      </c>
      <c r="B351">
        <v>71.77</v>
      </c>
      <c r="C351" s="15">
        <v>-26453</v>
      </c>
      <c r="D351">
        <v>-4.74</v>
      </c>
      <c r="E351">
        <v>-3.19</v>
      </c>
      <c r="F351">
        <v>13.65</v>
      </c>
      <c r="G351" s="11">
        <v>5.6</v>
      </c>
      <c r="H351">
        <f t="shared" si="5"/>
        <v>7.6231060606060552</v>
      </c>
      <c r="I351">
        <v>7.6231060606060552</v>
      </c>
      <c r="J351" s="13">
        <v>831224.5</v>
      </c>
      <c r="K351">
        <v>1.4007438986260112</v>
      </c>
      <c r="L351">
        <v>-5.8800096821003507</v>
      </c>
    </row>
    <row r="352" spans="1:12" x14ac:dyDescent="0.3">
      <c r="A352" s="1">
        <v>44986</v>
      </c>
      <c r="B352">
        <v>71.540000000000006</v>
      </c>
      <c r="C352" s="15">
        <v>-14182</v>
      </c>
      <c r="D352">
        <v>-1.04</v>
      </c>
      <c r="E352">
        <v>-1.51</v>
      </c>
      <c r="F352">
        <v>13.65</v>
      </c>
      <c r="G352" s="11">
        <v>4.6500000000000004</v>
      </c>
      <c r="H352">
        <f t="shared" si="5"/>
        <v>8.6000955566172941</v>
      </c>
      <c r="I352">
        <v>8.6000955566172941</v>
      </c>
      <c r="J352" s="13">
        <v>938679.8</v>
      </c>
      <c r="K352">
        <v>11.449925820985918</v>
      </c>
      <c r="L352">
        <v>5.4458167873773666</v>
      </c>
    </row>
    <row r="353" spans="1:12" x14ac:dyDescent="0.3">
      <c r="A353" s="1">
        <v>45017</v>
      </c>
      <c r="B353">
        <v>71.569999999999993</v>
      </c>
      <c r="C353" s="15">
        <v>20324</v>
      </c>
      <c r="D353">
        <v>1.87</v>
      </c>
      <c r="E353">
        <v>2.23</v>
      </c>
      <c r="F353">
        <v>13.65</v>
      </c>
      <c r="G353" s="11">
        <v>4.18</v>
      </c>
      <c r="H353">
        <f t="shared" si="5"/>
        <v>9.0900364753311536</v>
      </c>
      <c r="I353">
        <v>9.0900364753311536</v>
      </c>
      <c r="J353" s="13">
        <v>904664.8</v>
      </c>
      <c r="K353">
        <v>-4.2991554286667011</v>
      </c>
      <c r="L353">
        <v>0.48489809960885477</v>
      </c>
    </row>
    <row r="354" spans="1:12" x14ac:dyDescent="0.3">
      <c r="A354" s="1">
        <v>45047</v>
      </c>
      <c r="B354">
        <v>72.11</v>
      </c>
      <c r="C354" s="15">
        <v>-50172</v>
      </c>
      <c r="D354">
        <v>-4.7300000000000004</v>
      </c>
      <c r="E354">
        <v>-5.5</v>
      </c>
      <c r="F354">
        <v>13.65</v>
      </c>
      <c r="G354" s="11">
        <v>3.94</v>
      </c>
      <c r="H354">
        <f t="shared" si="5"/>
        <v>9.3419280354050329</v>
      </c>
      <c r="I354">
        <v>9.3419280354050329</v>
      </c>
      <c r="J354" s="13">
        <v>903238.1</v>
      </c>
      <c r="K354">
        <v>-0.38749053992770399</v>
      </c>
      <c r="L354">
        <v>-0.13512272920661594</v>
      </c>
    </row>
    <row r="355" spans="1:12" x14ac:dyDescent="0.3">
      <c r="A355" s="1">
        <v>45078</v>
      </c>
      <c r="B355">
        <v>71.97</v>
      </c>
      <c r="C355" s="15">
        <v>-48899</v>
      </c>
      <c r="D355">
        <v>-5.12</v>
      </c>
      <c r="E355">
        <v>-5.4</v>
      </c>
      <c r="F355">
        <v>13.65</v>
      </c>
      <c r="G355" s="11">
        <v>3.16</v>
      </c>
      <c r="H355">
        <f t="shared" si="5"/>
        <v>10.168670027142301</v>
      </c>
      <c r="I355">
        <v>10.168670027142301</v>
      </c>
      <c r="J355" s="13">
        <v>893074.9</v>
      </c>
      <c r="K355">
        <v>-1.0515757120291624</v>
      </c>
      <c r="L355">
        <v>-1.3722092755148796</v>
      </c>
    </row>
    <row r="356" spans="1:12" x14ac:dyDescent="0.3">
      <c r="A356" s="1">
        <v>45108</v>
      </c>
      <c r="B356">
        <v>72.48</v>
      </c>
      <c r="C356" s="15">
        <v>-35809</v>
      </c>
      <c r="D356">
        <v>-3.52</v>
      </c>
      <c r="E356">
        <v>-3.89</v>
      </c>
      <c r="F356">
        <v>13.65</v>
      </c>
      <c r="G356" s="11">
        <v>3.99</v>
      </c>
      <c r="H356">
        <f t="shared" si="5"/>
        <v>9.2893547456486267</v>
      </c>
      <c r="I356">
        <v>9.2893547456486267</v>
      </c>
      <c r="J356" s="13">
        <v>911553.5</v>
      </c>
      <c r="K356">
        <v>1.9280845285560844</v>
      </c>
      <c r="L356">
        <v>0.87787650472408441</v>
      </c>
    </row>
    <row r="357" spans="1:12" x14ac:dyDescent="0.3">
      <c r="A357" s="1">
        <v>45139</v>
      </c>
      <c r="B357">
        <v>72.89</v>
      </c>
      <c r="C357" s="15">
        <v>-22830</v>
      </c>
      <c r="D357">
        <v>-2.8</v>
      </c>
      <c r="E357">
        <v>-2.4500000000000002</v>
      </c>
      <c r="F357">
        <v>13.19</v>
      </c>
      <c r="G357" s="11">
        <v>4.6100000000000003</v>
      </c>
      <c r="H357">
        <f t="shared" si="5"/>
        <v>8.2018927444794887</v>
      </c>
      <c r="I357">
        <v>8.2018927444794887</v>
      </c>
      <c r="J357" s="13">
        <v>923374.4</v>
      </c>
      <c r="K357">
        <v>1.0586580847522953</v>
      </c>
      <c r="L357">
        <v>1.5895804414430392</v>
      </c>
    </row>
    <row r="358" spans="1:12" x14ac:dyDescent="0.3">
      <c r="A358" s="1">
        <v>45170</v>
      </c>
      <c r="B358">
        <v>73.010000000000005</v>
      </c>
      <c r="C358" s="15">
        <v>-18071</v>
      </c>
      <c r="D358">
        <v>-1.79</v>
      </c>
      <c r="E358">
        <v>-1.97</v>
      </c>
      <c r="F358">
        <v>12.97</v>
      </c>
      <c r="G358" s="11">
        <v>5.19</v>
      </c>
      <c r="H358">
        <f t="shared" si="5"/>
        <v>7.3961403175206719</v>
      </c>
      <c r="I358">
        <v>7.3961403175206719</v>
      </c>
      <c r="J358" s="13">
        <v>905912.7</v>
      </c>
      <c r="K358">
        <v>-2.1688986279439604</v>
      </c>
      <c r="L358">
        <v>-1.365719081831207</v>
      </c>
    </row>
    <row r="359" spans="1:12" x14ac:dyDescent="0.3">
      <c r="A359" s="1">
        <v>45200</v>
      </c>
      <c r="B359">
        <v>73.319999999999993</v>
      </c>
      <c r="C359" s="15">
        <v>14798</v>
      </c>
      <c r="D359">
        <v>2.04</v>
      </c>
      <c r="E359">
        <v>1.55</v>
      </c>
      <c r="F359">
        <v>12.65</v>
      </c>
      <c r="G359" s="11">
        <v>4.82</v>
      </c>
      <c r="H359">
        <f t="shared" si="5"/>
        <v>7.4699484831139085</v>
      </c>
      <c r="I359">
        <v>7.4699484831139085</v>
      </c>
      <c r="J359" s="13">
        <v>943578.5</v>
      </c>
      <c r="K359">
        <v>3.8339729640062714</v>
      </c>
      <c r="L359">
        <v>2.402818680023211</v>
      </c>
    </row>
    <row r="360" spans="1:12" x14ac:dyDescent="0.3">
      <c r="A360" s="1">
        <v>45231</v>
      </c>
      <c r="B360">
        <v>73.319999999999993</v>
      </c>
      <c r="C360" s="15">
        <v>-37270</v>
      </c>
      <c r="D360">
        <v>-4.03</v>
      </c>
      <c r="E360">
        <v>-3.87</v>
      </c>
      <c r="F360">
        <v>12.17</v>
      </c>
      <c r="G360" s="11">
        <v>4.68</v>
      </c>
      <c r="H360">
        <f t="shared" si="5"/>
        <v>7.1551394726786288</v>
      </c>
      <c r="I360">
        <v>7.1551394726786288</v>
      </c>
      <c r="J360" s="13">
        <v>950303.5</v>
      </c>
      <c r="K360">
        <v>0.43052933587528486</v>
      </c>
      <c r="L360">
        <v>2.6824780724260311</v>
      </c>
    </row>
    <row r="361" spans="1:12" x14ac:dyDescent="0.3">
      <c r="A361" s="1">
        <v>45261</v>
      </c>
      <c r="B361">
        <v>73.83</v>
      </c>
      <c r="C361" s="15">
        <v>-129573</v>
      </c>
      <c r="D361">
        <v>-13.45</v>
      </c>
      <c r="E361">
        <v>-13.65</v>
      </c>
      <c r="F361">
        <v>11.87</v>
      </c>
      <c r="G361" s="11">
        <v>4.62</v>
      </c>
      <c r="H361">
        <f t="shared" si="5"/>
        <v>6.9298413305295403</v>
      </c>
      <c r="I361">
        <v>6.9298413305295403</v>
      </c>
      <c r="J361" s="13">
        <v>949176.5</v>
      </c>
      <c r="K361">
        <v>-0.67711548154516521</v>
      </c>
      <c r="L361">
        <v>1.7499462236972185</v>
      </c>
    </row>
    <row r="362" spans="1:12" x14ac:dyDescent="0.3">
      <c r="A362" s="1">
        <v>45292</v>
      </c>
      <c r="B362">
        <v>74.5</v>
      </c>
      <c r="C362" s="15">
        <v>102146</v>
      </c>
      <c r="D362">
        <v>9.16</v>
      </c>
      <c r="E362">
        <v>11.49</v>
      </c>
      <c r="F362">
        <v>11.65</v>
      </c>
      <c r="G362" s="11">
        <v>4.51</v>
      </c>
      <c r="H362">
        <f t="shared" si="5"/>
        <v>6.8318821165438859</v>
      </c>
      <c r="I362">
        <v>6.8318821165438859</v>
      </c>
      <c r="J362" s="13">
        <v>889287.9</v>
      </c>
      <c r="K362">
        <v>-6.9365274228095686</v>
      </c>
      <c r="L362">
        <v>-5.62818062554169</v>
      </c>
    </row>
    <row r="363" spans="1:12" x14ac:dyDescent="0.3">
      <c r="A363" s="1">
        <v>45323</v>
      </c>
      <c r="B363">
        <v>74.86</v>
      </c>
      <c r="C363" s="15">
        <v>-48692</v>
      </c>
      <c r="D363">
        <v>-6.44</v>
      </c>
      <c r="E363">
        <v>-5.42</v>
      </c>
      <c r="F363">
        <v>11.15</v>
      </c>
      <c r="G363" s="11">
        <v>4.5</v>
      </c>
      <c r="H363">
        <f t="shared" si="5"/>
        <v>6.3636363636363713</v>
      </c>
      <c r="I363">
        <v>6.3636363636363713</v>
      </c>
      <c r="J363" s="13">
        <v>899561.2</v>
      </c>
      <c r="K363">
        <v>0.32209378417107359</v>
      </c>
      <c r="L363">
        <v>-5.6351561749624306</v>
      </c>
    </row>
    <row r="364" spans="1:12" x14ac:dyDescent="0.3">
      <c r="A364" s="1">
        <v>45352</v>
      </c>
      <c r="B364">
        <v>75.09</v>
      </c>
      <c r="C364" s="15">
        <v>1177</v>
      </c>
      <c r="D364">
        <v>-0.19</v>
      </c>
      <c r="E364">
        <v>0.12</v>
      </c>
      <c r="F364">
        <v>11</v>
      </c>
      <c r="G364" s="11">
        <v>3.93</v>
      </c>
      <c r="H364">
        <f t="shared" si="5"/>
        <v>6.8026556335995636</v>
      </c>
      <c r="I364">
        <v>6.8026556335995636</v>
      </c>
      <c r="J364" s="13">
        <v>965492.7</v>
      </c>
      <c r="K364">
        <v>6.9133177969545656</v>
      </c>
      <c r="L364">
        <v>0.94956333786286873</v>
      </c>
    </row>
    <row r="365" spans="1:12" x14ac:dyDescent="0.3">
      <c r="A365" s="1">
        <v>45383</v>
      </c>
      <c r="B365">
        <v>75.25</v>
      </c>
      <c r="C365" s="15">
        <v>6688</v>
      </c>
      <c r="D365">
        <v>0.9</v>
      </c>
      <c r="E365">
        <v>0.68</v>
      </c>
      <c r="F365">
        <v>10.65</v>
      </c>
      <c r="G365" s="11">
        <v>3.69</v>
      </c>
      <c r="H365">
        <f t="shared" si="5"/>
        <v>6.712315555984194</v>
      </c>
      <c r="I365">
        <v>6.712315555984194</v>
      </c>
      <c r="J365" s="13">
        <v>989614.2</v>
      </c>
      <c r="K365">
        <v>2.0884227193242566</v>
      </c>
      <c r="L365">
        <v>2.302116535861054</v>
      </c>
    </row>
    <row r="366" spans="1:12" x14ac:dyDescent="0.3">
      <c r="A366" s="1">
        <v>45413</v>
      </c>
      <c r="B366">
        <v>75.790000000000006</v>
      </c>
      <c r="C366" s="15">
        <v>-63895</v>
      </c>
      <c r="D366">
        <v>-6.33</v>
      </c>
      <c r="E366">
        <v>-6.64</v>
      </c>
      <c r="F366">
        <v>10.46</v>
      </c>
      <c r="G366" s="11">
        <v>3.93</v>
      </c>
      <c r="H366">
        <f t="shared" si="5"/>
        <v>6.2830751467333856</v>
      </c>
      <c r="I366">
        <v>6.2830751467333856</v>
      </c>
      <c r="J366" s="13">
        <v>961853.7</v>
      </c>
      <c r="K366">
        <v>-3.3042536155887703</v>
      </c>
      <c r="L366">
        <v>-1.282959649542792</v>
      </c>
    </row>
    <row r="367" spans="1:12" x14ac:dyDescent="0.3">
      <c r="A367" s="1">
        <v>45444</v>
      </c>
      <c r="B367">
        <v>76.849999999999994</v>
      </c>
      <c r="C367" s="15">
        <v>-40873</v>
      </c>
      <c r="D367">
        <v>-4.13</v>
      </c>
      <c r="E367">
        <v>-4.21</v>
      </c>
      <c r="F367">
        <v>10.4</v>
      </c>
      <c r="G367" s="11">
        <v>4.2300000000000004</v>
      </c>
      <c r="H367">
        <f t="shared" si="5"/>
        <v>5.9196008826633451</v>
      </c>
      <c r="I367">
        <v>5.9196008826633451</v>
      </c>
      <c r="J367" s="13">
        <v>969868.6</v>
      </c>
      <c r="K367">
        <v>0.61999527211309413</v>
      </c>
      <c r="L367">
        <v>-0.70098790087003149</v>
      </c>
    </row>
    <row r="368" spans="1:12" x14ac:dyDescent="0.3">
      <c r="A368" s="1">
        <v>45474</v>
      </c>
      <c r="B368">
        <v>77.45</v>
      </c>
      <c r="C368" s="15">
        <v>-21348</v>
      </c>
      <c r="D368">
        <v>-0.82</v>
      </c>
      <c r="E368">
        <v>-2.12</v>
      </c>
      <c r="F368">
        <v>10.4</v>
      </c>
      <c r="G368" s="11">
        <v>4.5</v>
      </c>
      <c r="H368">
        <f t="shared" si="5"/>
        <v>5.6459330143540765</v>
      </c>
      <c r="I368">
        <v>5.6459330143540765</v>
      </c>
      <c r="J368" s="13">
        <v>1008323.7</v>
      </c>
      <c r="K368">
        <v>3.5090806757608561</v>
      </c>
      <c r="L368">
        <v>3.1298877494363886</v>
      </c>
    </row>
    <row r="369" spans="1:12" x14ac:dyDescent="0.3">
      <c r="A369" s="1">
        <v>45505</v>
      </c>
      <c r="B369">
        <v>77.66</v>
      </c>
      <c r="C369" s="15">
        <v>-21425</v>
      </c>
      <c r="D369">
        <v>-2.2400000000000002</v>
      </c>
      <c r="E369">
        <v>-2.16</v>
      </c>
      <c r="F369">
        <v>10.4</v>
      </c>
      <c r="G369" s="11">
        <v>4.24</v>
      </c>
      <c r="H369">
        <f t="shared" si="5"/>
        <v>5.9094397544128929</v>
      </c>
      <c r="I369">
        <v>5.9094397544128929</v>
      </c>
      <c r="J369" s="13">
        <v>993777.4</v>
      </c>
      <c r="K369">
        <v>-1.4331783714979451</v>
      </c>
      <c r="L369">
        <v>1.2723769612949631</v>
      </c>
    </row>
    <row r="370" spans="1:12" x14ac:dyDescent="0.3">
      <c r="A370" s="1">
        <v>45536</v>
      </c>
      <c r="B370">
        <v>77.44</v>
      </c>
      <c r="C370" s="15">
        <v>-7340</v>
      </c>
      <c r="D370">
        <v>-0.38</v>
      </c>
      <c r="E370">
        <v>-0.74</v>
      </c>
      <c r="F370">
        <v>10.5</v>
      </c>
      <c r="G370" s="11">
        <v>4.42</v>
      </c>
      <c r="H370">
        <f t="shared" si="5"/>
        <v>5.8226393411223931</v>
      </c>
      <c r="I370">
        <v>5.8226393411223931</v>
      </c>
      <c r="J370" s="13">
        <v>988008.1</v>
      </c>
      <c r="K370">
        <v>-1.0212318542151877</v>
      </c>
      <c r="L370">
        <v>-0.62440436596974402</v>
      </c>
    </row>
    <row r="371" spans="1:12" x14ac:dyDescent="0.3">
      <c r="A371" s="1">
        <v>45566</v>
      </c>
      <c r="B371">
        <v>77.7</v>
      </c>
      <c r="C371" s="15">
        <v>36883</v>
      </c>
      <c r="D371">
        <v>3.74</v>
      </c>
      <c r="E371">
        <v>3.52</v>
      </c>
      <c r="F371">
        <v>10.65</v>
      </c>
      <c r="G371" s="11">
        <v>4.76</v>
      </c>
      <c r="H371">
        <f t="shared" si="5"/>
        <v>5.6223749522718469</v>
      </c>
      <c r="I371">
        <v>5.6223749522718469</v>
      </c>
      <c r="J371" s="13">
        <v>1048134.2</v>
      </c>
      <c r="K371">
        <v>5.3492209892018749</v>
      </c>
      <c r="L371">
        <v>4.393071660377279</v>
      </c>
    </row>
    <row r="372" spans="1:12" x14ac:dyDescent="0.3">
      <c r="A372" s="1">
        <v>45597</v>
      </c>
      <c r="B372">
        <v>77.78</v>
      </c>
      <c r="C372" s="15">
        <v>-6620</v>
      </c>
      <c r="D372">
        <v>-0.54</v>
      </c>
      <c r="E372">
        <v>-0.65</v>
      </c>
      <c r="F372">
        <v>11.04</v>
      </c>
      <c r="G372" s="11">
        <v>4.87</v>
      </c>
      <c r="H372">
        <f t="shared" si="5"/>
        <v>5.8834747782969377</v>
      </c>
      <c r="I372">
        <v>5.8834747782969377</v>
      </c>
      <c r="J372" s="13">
        <v>1026259.5</v>
      </c>
      <c r="K372">
        <v>-2.4983168281575985</v>
      </c>
      <c r="L372">
        <v>1.754908943568112</v>
      </c>
    </row>
    <row r="373" spans="1:12" x14ac:dyDescent="0.3">
      <c r="A373" s="1">
        <v>45627</v>
      </c>
      <c r="B373">
        <v>76.5</v>
      </c>
      <c r="C373" s="15">
        <v>15745</v>
      </c>
      <c r="D373">
        <v>2.66</v>
      </c>
      <c r="E373">
        <v>1.57</v>
      </c>
      <c r="F373">
        <v>11.77</v>
      </c>
      <c r="G373" s="11">
        <v>4.83</v>
      </c>
      <c r="H373">
        <f t="shared" si="5"/>
        <v>6.6202422970523589</v>
      </c>
      <c r="I373">
        <v>6.6202422970523589</v>
      </c>
      <c r="J373" s="13">
        <v>1005973.8</v>
      </c>
      <c r="K373">
        <v>-2.5150911932222186</v>
      </c>
      <c r="L373">
        <v>-0.96308091565211473</v>
      </c>
    </row>
    <row r="374" spans="1:12" x14ac:dyDescent="0.3">
      <c r="A374" s="1">
        <v>45658</v>
      </c>
      <c r="B374">
        <v>75.66</v>
      </c>
      <c r="C374" s="15">
        <v>104096</v>
      </c>
      <c r="D374">
        <v>8.66</v>
      </c>
      <c r="E374">
        <v>10.84</v>
      </c>
      <c r="F374">
        <v>12.24</v>
      </c>
      <c r="G374" s="11">
        <v>4.5599999999999996</v>
      </c>
      <c r="H374">
        <f t="shared" si="5"/>
        <v>7.3450650344299984</v>
      </c>
      <c r="I374">
        <v>7.3450650344299984</v>
      </c>
      <c r="J374" s="13">
        <v>960733.5</v>
      </c>
      <c r="K374">
        <v>-4.7612860243786415</v>
      </c>
      <c r="L374">
        <v>-5.9706957244855419</v>
      </c>
    </row>
    <row r="375" spans="1:12" x14ac:dyDescent="0.3">
      <c r="A375" s="1">
        <v>45689</v>
      </c>
      <c r="B375">
        <v>75.94</v>
      </c>
      <c r="C375" s="15">
        <v>-18973</v>
      </c>
      <c r="D375">
        <v>-2.87</v>
      </c>
      <c r="E375">
        <v>-1.91</v>
      </c>
      <c r="F375">
        <v>13.15</v>
      </c>
      <c r="G375" s="11">
        <v>5.0599999999999996</v>
      </c>
      <c r="H375">
        <f t="shared" si="5"/>
        <v>7.7003616980772849</v>
      </c>
      <c r="I375">
        <v>7.7003616980772849</v>
      </c>
      <c r="J375" s="13">
        <v>992634.2</v>
      </c>
      <c r="K375">
        <v>1.9649582072315042</v>
      </c>
      <c r="L375">
        <v>-4.1361521622435671</v>
      </c>
    </row>
    <row r="376" spans="1:12" x14ac:dyDescent="0.3">
      <c r="A376" s="1">
        <v>45717</v>
      </c>
      <c r="B376">
        <v>75.73</v>
      </c>
      <c r="C376" s="15">
        <v>3588</v>
      </c>
      <c r="D376">
        <v>-0.22</v>
      </c>
      <c r="E376">
        <v>0.34</v>
      </c>
      <c r="F376">
        <v>13.57</v>
      </c>
      <c r="G376" s="11">
        <v>5.48</v>
      </c>
      <c r="H376">
        <f t="shared" si="5"/>
        <v>7.6697004171406791</v>
      </c>
      <c r="I376">
        <v>7.6697004171406791</v>
      </c>
      <c r="J376" s="13">
        <v>1066211.1000000001</v>
      </c>
      <c r="K376">
        <v>6.5919766467944285</v>
      </c>
      <c r="L376">
        <v>3.4741835762119422</v>
      </c>
    </row>
    <row r="377" spans="1:12" x14ac:dyDescent="0.3">
      <c r="A377" s="1">
        <v>45748</v>
      </c>
      <c r="B377">
        <v>75.83</v>
      </c>
      <c r="C377" s="15">
        <v>14150</v>
      </c>
      <c r="D377">
        <v>1.53</v>
      </c>
      <c r="E377">
        <v>1.31</v>
      </c>
      <c r="F377">
        <v>14.15</v>
      </c>
      <c r="G377" s="11">
        <v>5.53</v>
      </c>
      <c r="H377">
        <f t="shared" si="5"/>
        <v>8.1682933762911034</v>
      </c>
      <c r="I377">
        <v>8.1682933762911034</v>
      </c>
      <c r="J377" s="13">
        <v>1079804</v>
      </c>
      <c r="K377">
        <v>0.83767568860313446</v>
      </c>
      <c r="L377">
        <v>4.0474516659627424</v>
      </c>
    </row>
    <row r="378" spans="1:12" x14ac:dyDescent="0.3">
      <c r="A378" s="1">
        <v>45778</v>
      </c>
      <c r="B378">
        <v>75.97</v>
      </c>
      <c r="C378" s="15">
        <v>-33740</v>
      </c>
      <c r="D378">
        <v>-3.56</v>
      </c>
      <c r="E378">
        <v>-3.2</v>
      </c>
      <c r="F378">
        <v>14.55</v>
      </c>
      <c r="G378" s="11">
        <v>5.32</v>
      </c>
      <c r="H378">
        <f t="shared" si="5"/>
        <v>8.7637675655146232</v>
      </c>
      <c r="I378">
        <v>8.7637675655146232</v>
      </c>
      <c r="J378" s="13">
        <v>1055353.6000000001</v>
      </c>
      <c r="K378">
        <v>-2.5500428906156003</v>
      </c>
      <c r="L378">
        <v>1.0850317775221718</v>
      </c>
    </row>
    <row r="379" spans="1:12" x14ac:dyDescent="0.3">
      <c r="A379" s="1">
        <v>45809</v>
      </c>
      <c r="B379">
        <v>76.540000000000006</v>
      </c>
      <c r="C379" s="15">
        <v>-47091</v>
      </c>
      <c r="D379">
        <v>-4.18</v>
      </c>
      <c r="E379">
        <v>-4.5199999999999996</v>
      </c>
      <c r="F379">
        <v>14.74</v>
      </c>
      <c r="G379" s="11">
        <v>5.35</v>
      </c>
      <c r="H379">
        <f t="shared" si="5"/>
        <v>8.9131466540104185</v>
      </c>
      <c r="I379">
        <v>8.9131466540104185</v>
      </c>
      <c r="J379" s="13">
        <v>1041587.5</v>
      </c>
      <c r="K379">
        <v>-1.5527132138931421</v>
      </c>
      <c r="L379">
        <v>-0.62922404371392737</v>
      </c>
    </row>
    <row r="380" spans="1:12" x14ac:dyDescent="0.3">
      <c r="A380" s="1">
        <v>45839</v>
      </c>
      <c r="B380">
        <v>77.42</v>
      </c>
      <c r="C380" s="15">
        <v>-66566</v>
      </c>
      <c r="D380">
        <v>-5.18</v>
      </c>
      <c r="E380">
        <v>-6.15</v>
      </c>
      <c r="F380">
        <v>14.9</v>
      </c>
      <c r="G380" s="12">
        <v>5.23</v>
      </c>
      <c r="H380">
        <f t="shared" si="5"/>
        <v>9.1893946593176956</v>
      </c>
      <c r="I380">
        <v>9.1893946593176956</v>
      </c>
      <c r="J380" s="13">
        <v>1082818.3999999999</v>
      </c>
      <c r="K380">
        <v>3.6225161754423141</v>
      </c>
      <c r="L380">
        <v>2.8586262094967951</v>
      </c>
    </row>
    <row r="381" spans="1:12" x14ac:dyDescent="0.3">
      <c r="A381" s="1">
        <v>45870</v>
      </c>
      <c r="B381">
        <v>77.5</v>
      </c>
      <c r="C381" s="15">
        <v>-17255</v>
      </c>
      <c r="D381">
        <v>-1.49</v>
      </c>
      <c r="E381">
        <v>-1.62</v>
      </c>
      <c r="F381">
        <v>14.9</v>
      </c>
      <c r="G381" s="6">
        <v>5.13</v>
      </c>
      <c r="H381">
        <f t="shared" si="5"/>
        <v>9.2932559688005512</v>
      </c>
      <c r="I381">
        <v>9.2932559688005512</v>
      </c>
      <c r="J381" s="13">
        <v>1064318.8</v>
      </c>
      <c r="K381">
        <v>-1.6131037658208669</v>
      </c>
      <c r="L381">
        <v>1.0561043520165958</v>
      </c>
    </row>
    <row r="382" spans="1:12" x14ac:dyDescent="0.3">
      <c r="A382" s="1">
        <v>45901</v>
      </c>
      <c r="D382" s="2"/>
      <c r="E382" s="2"/>
      <c r="F382">
        <v>14.9</v>
      </c>
      <c r="G382" s="6">
        <v>5.17</v>
      </c>
      <c r="H382">
        <f t="shared" si="5"/>
        <v>9.2516877436531253</v>
      </c>
      <c r="I382">
        <v>9.2516877436531253</v>
      </c>
      <c r="J382" s="13">
        <v>1058274.3999999999</v>
      </c>
      <c r="K382">
        <v>-1.0483181837743771</v>
      </c>
      <c r="L382">
        <v>-0.14843756239104611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Sena</dc:creator>
  <cp:lastModifiedBy>Carlos Sena</cp:lastModifiedBy>
  <dcterms:created xsi:type="dcterms:W3CDTF">2025-10-12T18:33:45Z</dcterms:created>
  <dcterms:modified xsi:type="dcterms:W3CDTF">2025-10-18T15:49:38Z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{"port":50260,"version":"1.25.180"}</vt:lpwstr>
  </property>
</Properties>
</file>